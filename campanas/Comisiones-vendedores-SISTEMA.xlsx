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se usa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Vendedores" sheetId="3" state="visible" r:id="rId3"/>
    <sheet xmlns:r="http://schemas.openxmlformats.org/officeDocument/2006/relationships" name="Ajus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</font>
    <font>
      <name val="Arial"/>
      <b val="1"/>
    </font>
    <font>
      <name val="Arial"/>
      <b val="1"/>
      <sz val="14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2A1D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9" fontId="6" fillId="0" borderId="0" pivotButton="0" quotePrefix="0" xfId="0"/>
    <xf numFmtId="0" fontId="1" fillId="2" borderId="0" pivotButton="0" quotePrefix="0" xfId="0"/>
    <xf numFmtId="166" fontId="6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Brian</author>
  </authors>
  <commentList>
    <comment ref="B3" authorId="0" shapeId="0">
      <text>
        <t>Fuente: acuerdo con los vendedores (20% de cada pago, mientras el cliente renueve).</t>
      </text>
    </comment>
    <comment ref="B6" authorId="0" shapeId="0">
      <text>
        <t>Fuente: precios de los links de Mercado Pago, confirmados por Brian el 13/10/2026.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Comisiones de vendedores · SISTEMA</t>
        </is>
      </c>
    </row>
    <row r="2">
      <c r="A2" s="2" t="inlineStr"/>
    </row>
    <row r="3">
      <c r="A3" s="2" t="inlineStr">
        <is>
          <t>1. Cuando un vendedor se suma, anotalo en Vendedores con el mismo nombre que figura en su link (lo que va después de ?ref=).</t>
        </is>
      </c>
    </row>
    <row r="4">
      <c r="A4" s="2" t="inlineStr">
        <is>
          <t>2. Cada vez que un cliente te manda el comprobante, cargá una fila en Ventas: fecha, cliente, plan y vendedor (lo dice el mensaje: "Me recomendó: ...").</t>
        </is>
      </c>
    </row>
    <row r="5">
      <c r="A5" s="2" t="inlineStr">
        <is>
          <t>3. El monto y la comisión se calculan solos. Si el cliente renueva, cargá otra fila: la comisión es de cada pago.</t>
        </is>
      </c>
    </row>
    <row r="6">
      <c r="A6" s="2" t="inlineStr">
        <is>
          <t>4. A fin de mes, en Vendedores mirás la columna A pagar. Cuando le pagás a alguien, marcá sus ventas como "Sí" en ¿Comisión pagada?.</t>
        </is>
      </c>
    </row>
    <row r="7">
      <c r="A7" s="2" t="inlineStr"/>
    </row>
    <row r="8">
      <c r="A8" s="3" t="inlineStr">
        <is>
          <t>Las columnas Monto, Comisión, Ventas, Total vendido, Ya pagado y A pagar tienen fórmulas: no escribas en ellas.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3" customWidth="1" min="4" max="4"/>
    <col width="30" customWidth="1" min="5" max="5"/>
    <col width="14" customWidth="1" min="6" max="6"/>
    <col width="16" customWidth="1" min="7" max="7"/>
    <col width="40" customWidth="1" min="8" max="8"/>
  </cols>
  <sheetData>
    <row r="1" ht="34" customHeight="1">
      <c r="A1" s="4" t="inlineStr">
        <is>
          <t>Fecha</t>
        </is>
      </c>
      <c r="B1" s="4" t="inlineStr">
        <is>
          <t>Cliente</t>
        </is>
      </c>
      <c r="C1" s="4" t="inlineStr">
        <is>
          <t>Plan</t>
        </is>
      </c>
      <c r="D1" s="4" t="inlineStr">
        <is>
          <t>Monto ($)</t>
        </is>
      </c>
      <c r="E1" s="4" t="inlineStr">
        <is>
          <t>Vendedor (como figura en su link)</t>
        </is>
      </c>
      <c r="F1" s="4" t="inlineStr">
        <is>
          <t>Comisión ($)</t>
        </is>
      </c>
      <c r="G1" s="4" t="inlineStr">
        <is>
          <t>¿Comisión pagada?</t>
        </is>
      </c>
      <c r="H1" s="4" t="inlineStr">
        <is>
          <t>Notas</t>
        </is>
      </c>
    </row>
    <row r="2">
      <c r="A2" s="5" t="n">
        <v>46308</v>
      </c>
      <c r="B2" s="6" t="inlineStr">
        <is>
          <t>Ana Gómez (ejemplo)</t>
        </is>
      </c>
      <c r="C2" s="6" t="inlineStr">
        <is>
          <t>Anual</t>
        </is>
      </c>
      <c r="D2" s="7">
        <f>IF(C2="","",IFERROR(VLOOKUP(C2,Ajustes!$A$6:$B$8,2,FALSE),""))</f>
        <v/>
      </c>
      <c r="E2" s="6" t="inlineStr">
        <is>
          <t>juan-perez</t>
        </is>
      </c>
      <c r="F2" s="7">
        <f>IF(OR(E2="",D2=""),"",D2*Ajustes!$B$3)</f>
        <v/>
      </c>
      <c r="G2" s="6" t="inlineStr">
        <is>
          <t>No</t>
        </is>
      </c>
      <c r="H2" s="8" t="inlineStr">
        <is>
          <t>Fila de ejemplo: borrala cuando cargues la primera venta real.</t>
        </is>
      </c>
    </row>
    <row r="3">
      <c r="A3" s="5" t="n"/>
      <c r="B3" s="6" t="n"/>
      <c r="C3" s="6" t="n"/>
      <c r="D3" s="7">
        <f>IF(C3="","",IFERROR(VLOOKUP(C3,Ajustes!$A$6:$B$8,2,FALSE),""))</f>
        <v/>
      </c>
      <c r="E3" s="6" t="n"/>
      <c r="F3" s="7">
        <f>IF(OR(E3="",D3=""),"",D3*Ajustes!$B$3)</f>
        <v/>
      </c>
      <c r="G3" s="6" t="n"/>
      <c r="H3" s="6" t="n"/>
    </row>
    <row r="4">
      <c r="A4" s="5" t="n"/>
      <c r="B4" s="6" t="n"/>
      <c r="C4" s="6" t="n"/>
      <c r="D4" s="7">
        <f>IF(C4="","",IFERROR(VLOOKUP(C4,Ajustes!$A$6:$B$8,2,FALSE),""))</f>
        <v/>
      </c>
      <c r="E4" s="6" t="n"/>
      <c r="F4" s="7">
        <f>IF(OR(E4="",D4=""),"",D4*Ajustes!$B$3)</f>
        <v/>
      </c>
      <c r="G4" s="6" t="n"/>
      <c r="H4" s="6" t="n"/>
    </row>
    <row r="5">
      <c r="A5" s="5" t="n"/>
      <c r="B5" s="6" t="n"/>
      <c r="C5" s="6" t="n"/>
      <c r="D5" s="7">
        <f>IF(C5="","",IFERROR(VLOOKUP(C5,Ajustes!$A$6:$B$8,2,FALSE),""))</f>
        <v/>
      </c>
      <c r="E5" s="6" t="n"/>
      <c r="F5" s="7">
        <f>IF(OR(E5="",D5=""),"",D5*Ajustes!$B$3)</f>
        <v/>
      </c>
      <c r="G5" s="6" t="n"/>
      <c r="H5" s="6" t="n"/>
    </row>
    <row r="6">
      <c r="A6" s="5" t="n"/>
      <c r="B6" s="6" t="n"/>
      <c r="C6" s="6" t="n"/>
      <c r="D6" s="7">
        <f>IF(C6="","",IFERROR(VLOOKUP(C6,Ajustes!$A$6:$B$8,2,FALSE),""))</f>
        <v/>
      </c>
      <c r="E6" s="6" t="n"/>
      <c r="F6" s="7">
        <f>IF(OR(E6="",D6=""),"",D6*Ajustes!$B$3)</f>
        <v/>
      </c>
      <c r="G6" s="6" t="n"/>
      <c r="H6" s="6" t="n"/>
    </row>
    <row r="7">
      <c r="A7" s="5" t="n"/>
      <c r="B7" s="6" t="n"/>
      <c r="C7" s="6" t="n"/>
      <c r="D7" s="7">
        <f>IF(C7="","",IFERROR(VLOOKUP(C7,Ajustes!$A$6:$B$8,2,FALSE),""))</f>
        <v/>
      </c>
      <c r="E7" s="6" t="n"/>
      <c r="F7" s="7">
        <f>IF(OR(E7="",D7=""),"",D7*Ajustes!$B$3)</f>
        <v/>
      </c>
      <c r="G7" s="6" t="n"/>
      <c r="H7" s="6" t="n"/>
    </row>
    <row r="8">
      <c r="A8" s="5" t="n"/>
      <c r="B8" s="6" t="n"/>
      <c r="C8" s="6" t="n"/>
      <c r="D8" s="7">
        <f>IF(C8="","",IFERROR(VLOOKUP(C8,Ajustes!$A$6:$B$8,2,FALSE),""))</f>
        <v/>
      </c>
      <c r="E8" s="6" t="n"/>
      <c r="F8" s="7">
        <f>IF(OR(E8="",D8=""),"",D8*Ajustes!$B$3)</f>
        <v/>
      </c>
      <c r="G8" s="6" t="n"/>
      <c r="H8" s="6" t="n"/>
    </row>
    <row r="9">
      <c r="A9" s="5" t="n"/>
      <c r="B9" s="6" t="n"/>
      <c r="C9" s="6" t="n"/>
      <c r="D9" s="7">
        <f>IF(C9="","",IFERROR(VLOOKUP(C9,Ajustes!$A$6:$B$8,2,FALSE),""))</f>
        <v/>
      </c>
      <c r="E9" s="6" t="n"/>
      <c r="F9" s="7">
        <f>IF(OR(E9="",D9=""),"",D9*Ajustes!$B$3)</f>
        <v/>
      </c>
      <c r="G9" s="6" t="n"/>
      <c r="H9" s="6" t="n"/>
    </row>
    <row r="10">
      <c r="A10" s="5" t="n"/>
      <c r="B10" s="6" t="n"/>
      <c r="C10" s="6" t="n"/>
      <c r="D10" s="7">
        <f>IF(C10="","",IFERROR(VLOOKUP(C10,Ajustes!$A$6:$B$8,2,FALSE),""))</f>
        <v/>
      </c>
      <c r="E10" s="6" t="n"/>
      <c r="F10" s="7">
        <f>IF(OR(E10="",D10=""),"",D10*Ajustes!$B$3)</f>
        <v/>
      </c>
      <c r="G10" s="6" t="n"/>
      <c r="H10" s="6" t="n"/>
    </row>
    <row r="11">
      <c r="A11" s="5" t="n"/>
      <c r="B11" s="6" t="n"/>
      <c r="C11" s="6" t="n"/>
      <c r="D11" s="7">
        <f>IF(C11="","",IFERROR(VLOOKUP(C11,Ajustes!$A$6:$B$8,2,FALSE),""))</f>
        <v/>
      </c>
      <c r="E11" s="6" t="n"/>
      <c r="F11" s="7">
        <f>IF(OR(E11="",D11=""),"",D11*Ajustes!$B$3)</f>
        <v/>
      </c>
      <c r="G11" s="6" t="n"/>
      <c r="H11" s="6" t="n"/>
    </row>
    <row r="12">
      <c r="A12" s="5" t="n"/>
      <c r="B12" s="6" t="n"/>
      <c r="C12" s="6" t="n"/>
      <c r="D12" s="7">
        <f>IF(C12="","",IFERROR(VLOOKUP(C12,Ajustes!$A$6:$B$8,2,FALSE),""))</f>
        <v/>
      </c>
      <c r="E12" s="6" t="n"/>
      <c r="F12" s="7">
        <f>IF(OR(E12="",D12=""),"",D12*Ajustes!$B$3)</f>
        <v/>
      </c>
      <c r="G12" s="6" t="n"/>
      <c r="H12" s="6" t="n"/>
    </row>
    <row r="13">
      <c r="A13" s="5" t="n"/>
      <c r="B13" s="6" t="n"/>
      <c r="C13" s="6" t="n"/>
      <c r="D13" s="7">
        <f>IF(C13="","",IFERROR(VLOOKUP(C13,Ajustes!$A$6:$B$8,2,FALSE),""))</f>
        <v/>
      </c>
      <c r="E13" s="6" t="n"/>
      <c r="F13" s="7">
        <f>IF(OR(E13="",D13=""),"",D13*Ajustes!$B$3)</f>
        <v/>
      </c>
      <c r="G13" s="6" t="n"/>
      <c r="H13" s="6" t="n"/>
    </row>
    <row r="14">
      <c r="A14" s="5" t="n"/>
      <c r="B14" s="6" t="n"/>
      <c r="C14" s="6" t="n"/>
      <c r="D14" s="7">
        <f>IF(C14="","",IFERROR(VLOOKUP(C14,Ajustes!$A$6:$B$8,2,FALSE),""))</f>
        <v/>
      </c>
      <c r="E14" s="6" t="n"/>
      <c r="F14" s="7">
        <f>IF(OR(E14="",D14=""),"",D14*Ajustes!$B$3)</f>
        <v/>
      </c>
      <c r="G14" s="6" t="n"/>
      <c r="H14" s="6" t="n"/>
    </row>
    <row r="15">
      <c r="A15" s="5" t="n"/>
      <c r="B15" s="6" t="n"/>
      <c r="C15" s="6" t="n"/>
      <c r="D15" s="7">
        <f>IF(C15="","",IFERROR(VLOOKUP(C15,Ajustes!$A$6:$B$8,2,FALSE),""))</f>
        <v/>
      </c>
      <c r="E15" s="6" t="n"/>
      <c r="F15" s="7">
        <f>IF(OR(E15="",D15=""),"",D15*Ajustes!$B$3)</f>
        <v/>
      </c>
      <c r="G15" s="6" t="n"/>
      <c r="H15" s="6" t="n"/>
    </row>
    <row r="16">
      <c r="A16" s="5" t="n"/>
      <c r="B16" s="6" t="n"/>
      <c r="C16" s="6" t="n"/>
      <c r="D16" s="7">
        <f>IF(C16="","",IFERROR(VLOOKUP(C16,Ajustes!$A$6:$B$8,2,FALSE),""))</f>
        <v/>
      </c>
      <c r="E16" s="6" t="n"/>
      <c r="F16" s="7">
        <f>IF(OR(E16="",D16=""),"",D16*Ajustes!$B$3)</f>
        <v/>
      </c>
      <c r="G16" s="6" t="n"/>
      <c r="H16" s="6" t="n"/>
    </row>
    <row r="17">
      <c r="A17" s="5" t="n"/>
      <c r="B17" s="6" t="n"/>
      <c r="C17" s="6" t="n"/>
      <c r="D17" s="7">
        <f>IF(C17="","",IFERROR(VLOOKUP(C17,Ajustes!$A$6:$B$8,2,FALSE),""))</f>
        <v/>
      </c>
      <c r="E17" s="6" t="n"/>
      <c r="F17" s="7">
        <f>IF(OR(E17="",D17=""),"",D17*Ajustes!$B$3)</f>
        <v/>
      </c>
      <c r="G17" s="6" t="n"/>
      <c r="H17" s="6" t="n"/>
    </row>
    <row r="18">
      <c r="A18" s="5" t="n"/>
      <c r="B18" s="6" t="n"/>
      <c r="C18" s="6" t="n"/>
      <c r="D18" s="7">
        <f>IF(C18="","",IFERROR(VLOOKUP(C18,Ajustes!$A$6:$B$8,2,FALSE),""))</f>
        <v/>
      </c>
      <c r="E18" s="6" t="n"/>
      <c r="F18" s="7">
        <f>IF(OR(E18="",D18=""),"",D18*Ajustes!$B$3)</f>
        <v/>
      </c>
      <c r="G18" s="6" t="n"/>
      <c r="H18" s="6" t="n"/>
    </row>
    <row r="19">
      <c r="A19" s="5" t="n"/>
      <c r="B19" s="6" t="n"/>
      <c r="C19" s="6" t="n"/>
      <c r="D19" s="7">
        <f>IF(C19="","",IFERROR(VLOOKUP(C19,Ajustes!$A$6:$B$8,2,FALSE),""))</f>
        <v/>
      </c>
      <c r="E19" s="6" t="n"/>
      <c r="F19" s="7">
        <f>IF(OR(E19="",D19=""),"",D19*Ajustes!$B$3)</f>
        <v/>
      </c>
      <c r="G19" s="6" t="n"/>
      <c r="H19" s="6" t="n"/>
    </row>
    <row r="20">
      <c r="A20" s="5" t="n"/>
      <c r="B20" s="6" t="n"/>
      <c r="C20" s="6" t="n"/>
      <c r="D20" s="7">
        <f>IF(C20="","",IFERROR(VLOOKUP(C20,Ajustes!$A$6:$B$8,2,FALSE),""))</f>
        <v/>
      </c>
      <c r="E20" s="6" t="n"/>
      <c r="F20" s="7">
        <f>IF(OR(E20="",D20=""),"",D20*Ajustes!$B$3)</f>
        <v/>
      </c>
      <c r="G20" s="6" t="n"/>
      <c r="H20" s="6" t="n"/>
    </row>
    <row r="21">
      <c r="A21" s="5" t="n"/>
      <c r="B21" s="6" t="n"/>
      <c r="C21" s="6" t="n"/>
      <c r="D21" s="7">
        <f>IF(C21="","",IFERROR(VLOOKUP(C21,Ajustes!$A$6:$B$8,2,FALSE),""))</f>
        <v/>
      </c>
      <c r="E21" s="6" t="n"/>
      <c r="F21" s="7">
        <f>IF(OR(E21="",D21=""),"",D21*Ajustes!$B$3)</f>
        <v/>
      </c>
      <c r="G21" s="6" t="n"/>
      <c r="H21" s="6" t="n"/>
    </row>
    <row r="22">
      <c r="A22" s="5" t="n"/>
      <c r="B22" s="6" t="n"/>
      <c r="C22" s="6" t="n"/>
      <c r="D22" s="7">
        <f>IF(C22="","",IFERROR(VLOOKUP(C22,Ajustes!$A$6:$B$8,2,FALSE),""))</f>
        <v/>
      </c>
      <c r="E22" s="6" t="n"/>
      <c r="F22" s="7">
        <f>IF(OR(E22="",D22=""),"",D22*Ajustes!$B$3)</f>
        <v/>
      </c>
      <c r="G22" s="6" t="n"/>
      <c r="H22" s="6" t="n"/>
    </row>
    <row r="23">
      <c r="A23" s="5" t="n"/>
      <c r="B23" s="6" t="n"/>
      <c r="C23" s="6" t="n"/>
      <c r="D23" s="7">
        <f>IF(C23="","",IFERROR(VLOOKUP(C23,Ajustes!$A$6:$B$8,2,FALSE),""))</f>
        <v/>
      </c>
      <c r="E23" s="6" t="n"/>
      <c r="F23" s="7">
        <f>IF(OR(E23="",D23=""),"",D23*Ajustes!$B$3)</f>
        <v/>
      </c>
      <c r="G23" s="6" t="n"/>
      <c r="H23" s="6" t="n"/>
    </row>
    <row r="24">
      <c r="A24" s="5" t="n"/>
      <c r="B24" s="6" t="n"/>
      <c r="C24" s="6" t="n"/>
      <c r="D24" s="7">
        <f>IF(C24="","",IFERROR(VLOOKUP(C24,Ajustes!$A$6:$B$8,2,FALSE),""))</f>
        <v/>
      </c>
      <c r="E24" s="6" t="n"/>
      <c r="F24" s="7">
        <f>IF(OR(E24="",D24=""),"",D24*Ajustes!$B$3)</f>
        <v/>
      </c>
      <c r="G24" s="6" t="n"/>
      <c r="H24" s="6" t="n"/>
    </row>
    <row r="25">
      <c r="A25" s="5" t="n"/>
      <c r="B25" s="6" t="n"/>
      <c r="C25" s="6" t="n"/>
      <c r="D25" s="7">
        <f>IF(C25="","",IFERROR(VLOOKUP(C25,Ajustes!$A$6:$B$8,2,FALSE),""))</f>
        <v/>
      </c>
      <c r="E25" s="6" t="n"/>
      <c r="F25" s="7">
        <f>IF(OR(E25="",D25=""),"",D25*Ajustes!$B$3)</f>
        <v/>
      </c>
      <c r="G25" s="6" t="n"/>
      <c r="H25" s="6" t="n"/>
    </row>
    <row r="26">
      <c r="A26" s="5" t="n"/>
      <c r="B26" s="6" t="n"/>
      <c r="C26" s="6" t="n"/>
      <c r="D26" s="7">
        <f>IF(C26="","",IFERROR(VLOOKUP(C26,Ajustes!$A$6:$B$8,2,FALSE),""))</f>
        <v/>
      </c>
      <c r="E26" s="6" t="n"/>
      <c r="F26" s="7">
        <f>IF(OR(E26="",D26=""),"",D26*Ajustes!$B$3)</f>
        <v/>
      </c>
      <c r="G26" s="6" t="n"/>
      <c r="H26" s="6" t="n"/>
    </row>
    <row r="27">
      <c r="A27" s="5" t="n"/>
      <c r="B27" s="6" t="n"/>
      <c r="C27" s="6" t="n"/>
      <c r="D27" s="7">
        <f>IF(C27="","",IFERROR(VLOOKUP(C27,Ajustes!$A$6:$B$8,2,FALSE),""))</f>
        <v/>
      </c>
      <c r="E27" s="6" t="n"/>
      <c r="F27" s="7">
        <f>IF(OR(E27="",D27=""),"",D27*Ajustes!$B$3)</f>
        <v/>
      </c>
      <c r="G27" s="6" t="n"/>
      <c r="H27" s="6" t="n"/>
    </row>
    <row r="28">
      <c r="A28" s="5" t="n"/>
      <c r="B28" s="6" t="n"/>
      <c r="C28" s="6" t="n"/>
      <c r="D28" s="7">
        <f>IF(C28="","",IFERROR(VLOOKUP(C28,Ajustes!$A$6:$B$8,2,FALSE),""))</f>
        <v/>
      </c>
      <c r="E28" s="6" t="n"/>
      <c r="F28" s="7">
        <f>IF(OR(E28="",D28=""),"",D28*Ajustes!$B$3)</f>
        <v/>
      </c>
      <c r="G28" s="6" t="n"/>
      <c r="H28" s="6" t="n"/>
    </row>
    <row r="29">
      <c r="A29" s="5" t="n"/>
      <c r="B29" s="6" t="n"/>
      <c r="C29" s="6" t="n"/>
      <c r="D29" s="7">
        <f>IF(C29="","",IFERROR(VLOOKUP(C29,Ajustes!$A$6:$B$8,2,FALSE),""))</f>
        <v/>
      </c>
      <c r="E29" s="6" t="n"/>
      <c r="F29" s="7">
        <f>IF(OR(E29="",D29=""),"",D29*Ajustes!$B$3)</f>
        <v/>
      </c>
      <c r="G29" s="6" t="n"/>
      <c r="H29" s="6" t="n"/>
    </row>
    <row r="30">
      <c r="A30" s="5" t="n"/>
      <c r="B30" s="6" t="n"/>
      <c r="C30" s="6" t="n"/>
      <c r="D30" s="7">
        <f>IF(C30="","",IFERROR(VLOOKUP(C30,Ajustes!$A$6:$B$8,2,FALSE),""))</f>
        <v/>
      </c>
      <c r="E30" s="6" t="n"/>
      <c r="F30" s="7">
        <f>IF(OR(E30="",D30=""),"",D30*Ajustes!$B$3)</f>
        <v/>
      </c>
      <c r="G30" s="6" t="n"/>
      <c r="H30" s="6" t="n"/>
    </row>
    <row r="31">
      <c r="A31" s="5" t="n"/>
      <c r="B31" s="6" t="n"/>
      <c r="C31" s="6" t="n"/>
      <c r="D31" s="7">
        <f>IF(C31="","",IFERROR(VLOOKUP(C31,Ajustes!$A$6:$B$8,2,FALSE),""))</f>
        <v/>
      </c>
      <c r="E31" s="6" t="n"/>
      <c r="F31" s="7">
        <f>IF(OR(E31="",D31=""),"",D31*Ajustes!$B$3)</f>
        <v/>
      </c>
      <c r="G31" s="6" t="n"/>
      <c r="H31" s="6" t="n"/>
    </row>
    <row r="32">
      <c r="A32" s="5" t="n"/>
      <c r="B32" s="6" t="n"/>
      <c r="C32" s="6" t="n"/>
      <c r="D32" s="7">
        <f>IF(C32="","",IFERROR(VLOOKUP(C32,Ajustes!$A$6:$B$8,2,FALSE),""))</f>
        <v/>
      </c>
      <c r="E32" s="6" t="n"/>
      <c r="F32" s="7">
        <f>IF(OR(E32="",D32=""),"",D32*Ajustes!$B$3)</f>
        <v/>
      </c>
      <c r="G32" s="6" t="n"/>
      <c r="H32" s="6" t="n"/>
    </row>
    <row r="33">
      <c r="A33" s="5" t="n"/>
      <c r="B33" s="6" t="n"/>
      <c r="C33" s="6" t="n"/>
      <c r="D33" s="7">
        <f>IF(C33="","",IFERROR(VLOOKUP(C33,Ajustes!$A$6:$B$8,2,FALSE),""))</f>
        <v/>
      </c>
      <c r="E33" s="6" t="n"/>
      <c r="F33" s="7">
        <f>IF(OR(E33="",D33=""),"",D33*Ajustes!$B$3)</f>
        <v/>
      </c>
      <c r="G33" s="6" t="n"/>
      <c r="H33" s="6" t="n"/>
    </row>
    <row r="34">
      <c r="A34" s="5" t="n"/>
      <c r="B34" s="6" t="n"/>
      <c r="C34" s="6" t="n"/>
      <c r="D34" s="7">
        <f>IF(C34="","",IFERROR(VLOOKUP(C34,Ajustes!$A$6:$B$8,2,FALSE),""))</f>
        <v/>
      </c>
      <c r="E34" s="6" t="n"/>
      <c r="F34" s="7">
        <f>IF(OR(E34="",D34=""),"",D34*Ajustes!$B$3)</f>
        <v/>
      </c>
      <c r="G34" s="6" t="n"/>
      <c r="H34" s="6" t="n"/>
    </row>
    <row r="35">
      <c r="A35" s="5" t="n"/>
      <c r="B35" s="6" t="n"/>
      <c r="C35" s="6" t="n"/>
      <c r="D35" s="7">
        <f>IF(C35="","",IFERROR(VLOOKUP(C35,Ajustes!$A$6:$B$8,2,FALSE),""))</f>
        <v/>
      </c>
      <c r="E35" s="6" t="n"/>
      <c r="F35" s="7">
        <f>IF(OR(E35="",D35=""),"",D35*Ajustes!$B$3)</f>
        <v/>
      </c>
      <c r="G35" s="6" t="n"/>
      <c r="H35" s="6" t="n"/>
    </row>
    <row r="36">
      <c r="A36" s="5" t="n"/>
      <c r="B36" s="6" t="n"/>
      <c r="C36" s="6" t="n"/>
      <c r="D36" s="7">
        <f>IF(C36="","",IFERROR(VLOOKUP(C36,Ajustes!$A$6:$B$8,2,FALSE),""))</f>
        <v/>
      </c>
      <c r="E36" s="6" t="n"/>
      <c r="F36" s="7">
        <f>IF(OR(E36="",D36=""),"",D36*Ajustes!$B$3)</f>
        <v/>
      </c>
      <c r="G36" s="6" t="n"/>
      <c r="H36" s="6" t="n"/>
    </row>
    <row r="37">
      <c r="A37" s="5" t="n"/>
      <c r="B37" s="6" t="n"/>
      <c r="C37" s="6" t="n"/>
      <c r="D37" s="7">
        <f>IF(C37="","",IFERROR(VLOOKUP(C37,Ajustes!$A$6:$B$8,2,FALSE),""))</f>
        <v/>
      </c>
      <c r="E37" s="6" t="n"/>
      <c r="F37" s="7">
        <f>IF(OR(E37="",D37=""),"",D37*Ajustes!$B$3)</f>
        <v/>
      </c>
      <c r="G37" s="6" t="n"/>
      <c r="H37" s="6" t="n"/>
    </row>
    <row r="38">
      <c r="A38" s="5" t="n"/>
      <c r="B38" s="6" t="n"/>
      <c r="C38" s="6" t="n"/>
      <c r="D38" s="7">
        <f>IF(C38="","",IFERROR(VLOOKUP(C38,Ajustes!$A$6:$B$8,2,FALSE),""))</f>
        <v/>
      </c>
      <c r="E38" s="6" t="n"/>
      <c r="F38" s="7">
        <f>IF(OR(E38="",D38=""),"",D38*Ajustes!$B$3)</f>
        <v/>
      </c>
      <c r="G38" s="6" t="n"/>
      <c r="H38" s="6" t="n"/>
    </row>
    <row r="39">
      <c r="A39" s="5" t="n"/>
      <c r="B39" s="6" t="n"/>
      <c r="C39" s="6" t="n"/>
      <c r="D39" s="7">
        <f>IF(C39="","",IFERROR(VLOOKUP(C39,Ajustes!$A$6:$B$8,2,FALSE),""))</f>
        <v/>
      </c>
      <c r="E39" s="6" t="n"/>
      <c r="F39" s="7">
        <f>IF(OR(E39="",D39=""),"",D39*Ajustes!$B$3)</f>
        <v/>
      </c>
      <c r="G39" s="6" t="n"/>
      <c r="H39" s="6" t="n"/>
    </row>
    <row r="40">
      <c r="A40" s="5" t="n"/>
      <c r="B40" s="6" t="n"/>
      <c r="C40" s="6" t="n"/>
      <c r="D40" s="7">
        <f>IF(C40="","",IFERROR(VLOOKUP(C40,Ajustes!$A$6:$B$8,2,FALSE),""))</f>
        <v/>
      </c>
      <c r="E40" s="6" t="n"/>
      <c r="F40" s="7">
        <f>IF(OR(E40="",D40=""),"",D40*Ajustes!$B$3)</f>
        <v/>
      </c>
      <c r="G40" s="6" t="n"/>
      <c r="H40" s="6" t="n"/>
    </row>
    <row r="41">
      <c r="A41" s="5" t="n"/>
      <c r="B41" s="6" t="n"/>
      <c r="C41" s="6" t="n"/>
      <c r="D41" s="7">
        <f>IF(C41="","",IFERROR(VLOOKUP(C41,Ajustes!$A$6:$B$8,2,FALSE),""))</f>
        <v/>
      </c>
      <c r="E41" s="6" t="n"/>
      <c r="F41" s="7">
        <f>IF(OR(E41="",D41=""),"",D41*Ajustes!$B$3)</f>
        <v/>
      </c>
      <c r="G41" s="6" t="n"/>
      <c r="H41" s="6" t="n"/>
    </row>
    <row r="42">
      <c r="A42" s="5" t="n"/>
      <c r="B42" s="6" t="n"/>
      <c r="C42" s="6" t="n"/>
      <c r="D42" s="7">
        <f>IF(C42="","",IFERROR(VLOOKUP(C42,Ajustes!$A$6:$B$8,2,FALSE),""))</f>
        <v/>
      </c>
      <c r="E42" s="6" t="n"/>
      <c r="F42" s="7">
        <f>IF(OR(E42="",D42=""),"",D42*Ajustes!$B$3)</f>
        <v/>
      </c>
      <c r="G42" s="6" t="n"/>
      <c r="H42" s="6" t="n"/>
    </row>
    <row r="43">
      <c r="A43" s="5" t="n"/>
      <c r="B43" s="6" t="n"/>
      <c r="C43" s="6" t="n"/>
      <c r="D43" s="7">
        <f>IF(C43="","",IFERROR(VLOOKUP(C43,Ajustes!$A$6:$B$8,2,FALSE),""))</f>
        <v/>
      </c>
      <c r="E43" s="6" t="n"/>
      <c r="F43" s="7">
        <f>IF(OR(E43="",D43=""),"",D43*Ajustes!$B$3)</f>
        <v/>
      </c>
      <c r="G43" s="6" t="n"/>
      <c r="H43" s="6" t="n"/>
    </row>
    <row r="44">
      <c r="A44" s="5" t="n"/>
      <c r="B44" s="6" t="n"/>
      <c r="C44" s="6" t="n"/>
      <c r="D44" s="7">
        <f>IF(C44="","",IFERROR(VLOOKUP(C44,Ajustes!$A$6:$B$8,2,FALSE),""))</f>
        <v/>
      </c>
      <c r="E44" s="6" t="n"/>
      <c r="F44" s="7">
        <f>IF(OR(E44="",D44=""),"",D44*Ajustes!$B$3)</f>
        <v/>
      </c>
      <c r="G44" s="6" t="n"/>
      <c r="H44" s="6" t="n"/>
    </row>
    <row r="45">
      <c r="A45" s="5" t="n"/>
      <c r="B45" s="6" t="n"/>
      <c r="C45" s="6" t="n"/>
      <c r="D45" s="7">
        <f>IF(C45="","",IFERROR(VLOOKUP(C45,Ajustes!$A$6:$B$8,2,FALSE),""))</f>
        <v/>
      </c>
      <c r="E45" s="6" t="n"/>
      <c r="F45" s="7">
        <f>IF(OR(E45="",D45=""),"",D45*Ajustes!$B$3)</f>
        <v/>
      </c>
      <c r="G45" s="6" t="n"/>
      <c r="H45" s="6" t="n"/>
    </row>
    <row r="46">
      <c r="A46" s="5" t="n"/>
      <c r="B46" s="6" t="n"/>
      <c r="C46" s="6" t="n"/>
      <c r="D46" s="7">
        <f>IF(C46="","",IFERROR(VLOOKUP(C46,Ajustes!$A$6:$B$8,2,FALSE),""))</f>
        <v/>
      </c>
      <c r="E46" s="6" t="n"/>
      <c r="F46" s="7">
        <f>IF(OR(E46="",D46=""),"",D46*Ajustes!$B$3)</f>
        <v/>
      </c>
      <c r="G46" s="6" t="n"/>
      <c r="H46" s="6" t="n"/>
    </row>
    <row r="47">
      <c r="A47" s="5" t="n"/>
      <c r="B47" s="6" t="n"/>
      <c r="C47" s="6" t="n"/>
      <c r="D47" s="7">
        <f>IF(C47="","",IFERROR(VLOOKUP(C47,Ajustes!$A$6:$B$8,2,FALSE),""))</f>
        <v/>
      </c>
      <c r="E47" s="6" t="n"/>
      <c r="F47" s="7">
        <f>IF(OR(E47="",D47=""),"",D47*Ajustes!$B$3)</f>
        <v/>
      </c>
      <c r="G47" s="6" t="n"/>
      <c r="H47" s="6" t="n"/>
    </row>
    <row r="48">
      <c r="A48" s="5" t="n"/>
      <c r="B48" s="6" t="n"/>
      <c r="C48" s="6" t="n"/>
      <c r="D48" s="7">
        <f>IF(C48="","",IFERROR(VLOOKUP(C48,Ajustes!$A$6:$B$8,2,FALSE),""))</f>
        <v/>
      </c>
      <c r="E48" s="6" t="n"/>
      <c r="F48" s="7">
        <f>IF(OR(E48="",D48=""),"",D48*Ajustes!$B$3)</f>
        <v/>
      </c>
      <c r="G48" s="6" t="n"/>
      <c r="H48" s="6" t="n"/>
    </row>
    <row r="49">
      <c r="A49" s="5" t="n"/>
      <c r="B49" s="6" t="n"/>
      <c r="C49" s="6" t="n"/>
      <c r="D49" s="7">
        <f>IF(C49="","",IFERROR(VLOOKUP(C49,Ajustes!$A$6:$B$8,2,FALSE),""))</f>
        <v/>
      </c>
      <c r="E49" s="6" t="n"/>
      <c r="F49" s="7">
        <f>IF(OR(E49="",D49=""),"",D49*Ajustes!$B$3)</f>
        <v/>
      </c>
      <c r="G49" s="6" t="n"/>
      <c r="H49" s="6" t="n"/>
    </row>
    <row r="50">
      <c r="A50" s="5" t="n"/>
      <c r="B50" s="6" t="n"/>
      <c r="C50" s="6" t="n"/>
      <c r="D50" s="7">
        <f>IF(C50="","",IFERROR(VLOOKUP(C50,Ajustes!$A$6:$B$8,2,FALSE),""))</f>
        <v/>
      </c>
      <c r="E50" s="6" t="n"/>
      <c r="F50" s="7">
        <f>IF(OR(E50="",D50=""),"",D50*Ajustes!$B$3)</f>
        <v/>
      </c>
      <c r="G50" s="6" t="n"/>
      <c r="H50" s="6" t="n"/>
    </row>
    <row r="51">
      <c r="A51" s="5" t="n"/>
      <c r="B51" s="6" t="n"/>
      <c r="C51" s="6" t="n"/>
      <c r="D51" s="7">
        <f>IF(C51="","",IFERROR(VLOOKUP(C51,Ajustes!$A$6:$B$8,2,FALSE),""))</f>
        <v/>
      </c>
      <c r="E51" s="6" t="n"/>
      <c r="F51" s="7">
        <f>IF(OR(E51="",D51=""),"",D51*Ajustes!$B$3)</f>
        <v/>
      </c>
      <c r="G51" s="6" t="n"/>
      <c r="H51" s="6" t="n"/>
    </row>
    <row r="52">
      <c r="A52" s="5" t="n"/>
      <c r="B52" s="6" t="n"/>
      <c r="C52" s="6" t="n"/>
      <c r="D52" s="7">
        <f>IF(C52="","",IFERROR(VLOOKUP(C52,Ajustes!$A$6:$B$8,2,FALSE),""))</f>
        <v/>
      </c>
      <c r="E52" s="6" t="n"/>
      <c r="F52" s="7">
        <f>IF(OR(E52="",D52=""),"",D52*Ajustes!$B$3)</f>
        <v/>
      </c>
      <c r="G52" s="6" t="n"/>
      <c r="H52" s="6" t="n"/>
    </row>
    <row r="53">
      <c r="A53" s="5" t="n"/>
      <c r="B53" s="6" t="n"/>
      <c r="C53" s="6" t="n"/>
      <c r="D53" s="7">
        <f>IF(C53="","",IFERROR(VLOOKUP(C53,Ajustes!$A$6:$B$8,2,FALSE),""))</f>
        <v/>
      </c>
      <c r="E53" s="6" t="n"/>
      <c r="F53" s="7">
        <f>IF(OR(E53="",D53=""),"",D53*Ajustes!$B$3)</f>
        <v/>
      </c>
      <c r="G53" s="6" t="n"/>
      <c r="H53" s="6" t="n"/>
    </row>
    <row r="54">
      <c r="A54" s="5" t="n"/>
      <c r="B54" s="6" t="n"/>
      <c r="C54" s="6" t="n"/>
      <c r="D54" s="7">
        <f>IF(C54="","",IFERROR(VLOOKUP(C54,Ajustes!$A$6:$B$8,2,FALSE),""))</f>
        <v/>
      </c>
      <c r="E54" s="6" t="n"/>
      <c r="F54" s="7">
        <f>IF(OR(E54="",D54=""),"",D54*Ajustes!$B$3)</f>
        <v/>
      </c>
      <c r="G54" s="6" t="n"/>
      <c r="H54" s="6" t="n"/>
    </row>
    <row r="55">
      <c r="A55" s="5" t="n"/>
      <c r="B55" s="6" t="n"/>
      <c r="C55" s="6" t="n"/>
      <c r="D55" s="7">
        <f>IF(C55="","",IFERROR(VLOOKUP(C55,Ajustes!$A$6:$B$8,2,FALSE),""))</f>
        <v/>
      </c>
      <c r="E55" s="6" t="n"/>
      <c r="F55" s="7">
        <f>IF(OR(E55="",D55=""),"",D55*Ajustes!$B$3)</f>
        <v/>
      </c>
      <c r="G55" s="6" t="n"/>
      <c r="H55" s="6" t="n"/>
    </row>
    <row r="56">
      <c r="A56" s="5" t="n"/>
      <c r="B56" s="6" t="n"/>
      <c r="C56" s="6" t="n"/>
      <c r="D56" s="7">
        <f>IF(C56="","",IFERROR(VLOOKUP(C56,Ajustes!$A$6:$B$8,2,FALSE),""))</f>
        <v/>
      </c>
      <c r="E56" s="6" t="n"/>
      <c r="F56" s="7">
        <f>IF(OR(E56="",D56=""),"",D56*Ajustes!$B$3)</f>
        <v/>
      </c>
      <c r="G56" s="6" t="n"/>
      <c r="H56" s="6" t="n"/>
    </row>
    <row r="57">
      <c r="A57" s="5" t="n"/>
      <c r="B57" s="6" t="n"/>
      <c r="C57" s="6" t="n"/>
      <c r="D57" s="7">
        <f>IF(C57="","",IFERROR(VLOOKUP(C57,Ajustes!$A$6:$B$8,2,FALSE),""))</f>
        <v/>
      </c>
      <c r="E57" s="6" t="n"/>
      <c r="F57" s="7">
        <f>IF(OR(E57="",D57=""),"",D57*Ajustes!$B$3)</f>
        <v/>
      </c>
      <c r="G57" s="6" t="n"/>
      <c r="H57" s="6" t="n"/>
    </row>
    <row r="58">
      <c r="A58" s="5" t="n"/>
      <c r="B58" s="6" t="n"/>
      <c r="C58" s="6" t="n"/>
      <c r="D58" s="7">
        <f>IF(C58="","",IFERROR(VLOOKUP(C58,Ajustes!$A$6:$B$8,2,FALSE),""))</f>
        <v/>
      </c>
      <c r="E58" s="6" t="n"/>
      <c r="F58" s="7">
        <f>IF(OR(E58="",D58=""),"",D58*Ajustes!$B$3)</f>
        <v/>
      </c>
      <c r="G58" s="6" t="n"/>
      <c r="H58" s="6" t="n"/>
    </row>
    <row r="59">
      <c r="A59" s="5" t="n"/>
      <c r="B59" s="6" t="n"/>
      <c r="C59" s="6" t="n"/>
      <c r="D59" s="7">
        <f>IF(C59="","",IFERROR(VLOOKUP(C59,Ajustes!$A$6:$B$8,2,FALSE),""))</f>
        <v/>
      </c>
      <c r="E59" s="6" t="n"/>
      <c r="F59" s="7">
        <f>IF(OR(E59="",D59=""),"",D59*Ajustes!$B$3)</f>
        <v/>
      </c>
      <c r="G59" s="6" t="n"/>
      <c r="H59" s="6" t="n"/>
    </row>
    <row r="60">
      <c r="A60" s="5" t="n"/>
      <c r="B60" s="6" t="n"/>
      <c r="C60" s="6" t="n"/>
      <c r="D60" s="7">
        <f>IF(C60="","",IFERROR(VLOOKUP(C60,Ajustes!$A$6:$B$8,2,FALSE),""))</f>
        <v/>
      </c>
      <c r="E60" s="6" t="n"/>
      <c r="F60" s="7">
        <f>IF(OR(E60="",D60=""),"",D60*Ajustes!$B$3)</f>
        <v/>
      </c>
      <c r="G60" s="6" t="n"/>
      <c r="H60" s="6" t="n"/>
    </row>
    <row r="61">
      <c r="A61" s="5" t="n"/>
      <c r="B61" s="6" t="n"/>
      <c r="C61" s="6" t="n"/>
      <c r="D61" s="7">
        <f>IF(C61="","",IFERROR(VLOOKUP(C61,Ajustes!$A$6:$B$8,2,FALSE),""))</f>
        <v/>
      </c>
      <c r="E61" s="6" t="n"/>
      <c r="F61" s="7">
        <f>IF(OR(E61="",D61=""),"",D61*Ajustes!$B$3)</f>
        <v/>
      </c>
      <c r="G61" s="6" t="n"/>
      <c r="H61" s="6" t="n"/>
    </row>
    <row r="62">
      <c r="A62" s="5" t="n"/>
      <c r="B62" s="6" t="n"/>
      <c r="C62" s="6" t="n"/>
      <c r="D62" s="7">
        <f>IF(C62="","",IFERROR(VLOOKUP(C62,Ajustes!$A$6:$B$8,2,FALSE),""))</f>
        <v/>
      </c>
      <c r="E62" s="6" t="n"/>
      <c r="F62" s="7">
        <f>IF(OR(E62="",D62=""),"",D62*Ajustes!$B$3)</f>
        <v/>
      </c>
      <c r="G62" s="6" t="n"/>
      <c r="H62" s="6" t="n"/>
    </row>
    <row r="63">
      <c r="A63" s="5" t="n"/>
      <c r="B63" s="6" t="n"/>
      <c r="C63" s="6" t="n"/>
      <c r="D63" s="7">
        <f>IF(C63="","",IFERROR(VLOOKUP(C63,Ajustes!$A$6:$B$8,2,FALSE),""))</f>
        <v/>
      </c>
      <c r="E63" s="6" t="n"/>
      <c r="F63" s="7">
        <f>IF(OR(E63="",D63=""),"",D63*Ajustes!$B$3)</f>
        <v/>
      </c>
      <c r="G63" s="6" t="n"/>
      <c r="H63" s="6" t="n"/>
    </row>
    <row r="64">
      <c r="A64" s="5" t="n"/>
      <c r="B64" s="6" t="n"/>
      <c r="C64" s="6" t="n"/>
      <c r="D64" s="7">
        <f>IF(C64="","",IFERROR(VLOOKUP(C64,Ajustes!$A$6:$B$8,2,FALSE),""))</f>
        <v/>
      </c>
      <c r="E64" s="6" t="n"/>
      <c r="F64" s="7">
        <f>IF(OR(E64="",D64=""),"",D64*Ajustes!$B$3)</f>
        <v/>
      </c>
      <c r="G64" s="6" t="n"/>
      <c r="H64" s="6" t="n"/>
    </row>
    <row r="65">
      <c r="A65" s="5" t="n"/>
      <c r="B65" s="6" t="n"/>
      <c r="C65" s="6" t="n"/>
      <c r="D65" s="7">
        <f>IF(C65="","",IFERROR(VLOOKUP(C65,Ajustes!$A$6:$B$8,2,FALSE),""))</f>
        <v/>
      </c>
      <c r="E65" s="6" t="n"/>
      <c r="F65" s="7">
        <f>IF(OR(E65="",D65=""),"",D65*Ajustes!$B$3)</f>
        <v/>
      </c>
      <c r="G65" s="6" t="n"/>
      <c r="H65" s="6" t="n"/>
    </row>
    <row r="66">
      <c r="A66" s="5" t="n"/>
      <c r="B66" s="6" t="n"/>
      <c r="C66" s="6" t="n"/>
      <c r="D66" s="7">
        <f>IF(C66="","",IFERROR(VLOOKUP(C66,Ajustes!$A$6:$B$8,2,FALSE),""))</f>
        <v/>
      </c>
      <c r="E66" s="6" t="n"/>
      <c r="F66" s="7">
        <f>IF(OR(E66="",D66=""),"",D66*Ajustes!$B$3)</f>
        <v/>
      </c>
      <c r="G66" s="6" t="n"/>
      <c r="H66" s="6" t="n"/>
    </row>
    <row r="67">
      <c r="A67" s="5" t="n"/>
      <c r="B67" s="6" t="n"/>
      <c r="C67" s="6" t="n"/>
      <c r="D67" s="7">
        <f>IF(C67="","",IFERROR(VLOOKUP(C67,Ajustes!$A$6:$B$8,2,FALSE),""))</f>
        <v/>
      </c>
      <c r="E67" s="6" t="n"/>
      <c r="F67" s="7">
        <f>IF(OR(E67="",D67=""),"",D67*Ajustes!$B$3)</f>
        <v/>
      </c>
      <c r="G67" s="6" t="n"/>
      <c r="H67" s="6" t="n"/>
    </row>
    <row r="68">
      <c r="A68" s="5" t="n"/>
      <c r="B68" s="6" t="n"/>
      <c r="C68" s="6" t="n"/>
      <c r="D68" s="7">
        <f>IF(C68="","",IFERROR(VLOOKUP(C68,Ajustes!$A$6:$B$8,2,FALSE),""))</f>
        <v/>
      </c>
      <c r="E68" s="6" t="n"/>
      <c r="F68" s="7">
        <f>IF(OR(E68="",D68=""),"",D68*Ajustes!$B$3)</f>
        <v/>
      </c>
      <c r="G68" s="6" t="n"/>
      <c r="H68" s="6" t="n"/>
    </row>
    <row r="69">
      <c r="A69" s="5" t="n"/>
      <c r="B69" s="6" t="n"/>
      <c r="C69" s="6" t="n"/>
      <c r="D69" s="7">
        <f>IF(C69="","",IFERROR(VLOOKUP(C69,Ajustes!$A$6:$B$8,2,FALSE),""))</f>
        <v/>
      </c>
      <c r="E69" s="6" t="n"/>
      <c r="F69" s="7">
        <f>IF(OR(E69="",D69=""),"",D69*Ajustes!$B$3)</f>
        <v/>
      </c>
      <c r="G69" s="6" t="n"/>
      <c r="H69" s="6" t="n"/>
    </row>
    <row r="70">
      <c r="A70" s="5" t="n"/>
      <c r="B70" s="6" t="n"/>
      <c r="C70" s="6" t="n"/>
      <c r="D70" s="7">
        <f>IF(C70="","",IFERROR(VLOOKUP(C70,Ajustes!$A$6:$B$8,2,FALSE),""))</f>
        <v/>
      </c>
      <c r="E70" s="6" t="n"/>
      <c r="F70" s="7">
        <f>IF(OR(E70="",D70=""),"",D70*Ajustes!$B$3)</f>
        <v/>
      </c>
      <c r="G70" s="6" t="n"/>
      <c r="H70" s="6" t="n"/>
    </row>
    <row r="71">
      <c r="A71" s="5" t="n"/>
      <c r="B71" s="6" t="n"/>
      <c r="C71" s="6" t="n"/>
      <c r="D71" s="7">
        <f>IF(C71="","",IFERROR(VLOOKUP(C71,Ajustes!$A$6:$B$8,2,FALSE),""))</f>
        <v/>
      </c>
      <c r="E71" s="6" t="n"/>
      <c r="F71" s="7">
        <f>IF(OR(E71="",D71=""),"",D71*Ajustes!$B$3)</f>
        <v/>
      </c>
      <c r="G71" s="6" t="n"/>
      <c r="H71" s="6" t="n"/>
    </row>
    <row r="72">
      <c r="A72" s="5" t="n"/>
      <c r="B72" s="6" t="n"/>
      <c r="C72" s="6" t="n"/>
      <c r="D72" s="7">
        <f>IF(C72="","",IFERROR(VLOOKUP(C72,Ajustes!$A$6:$B$8,2,FALSE),""))</f>
        <v/>
      </c>
      <c r="E72" s="6" t="n"/>
      <c r="F72" s="7">
        <f>IF(OR(E72="",D72=""),"",D72*Ajustes!$B$3)</f>
        <v/>
      </c>
      <c r="G72" s="6" t="n"/>
      <c r="H72" s="6" t="n"/>
    </row>
    <row r="73">
      <c r="A73" s="5" t="n"/>
      <c r="B73" s="6" t="n"/>
      <c r="C73" s="6" t="n"/>
      <c r="D73" s="7">
        <f>IF(C73="","",IFERROR(VLOOKUP(C73,Ajustes!$A$6:$B$8,2,FALSE),""))</f>
        <v/>
      </c>
      <c r="E73" s="6" t="n"/>
      <c r="F73" s="7">
        <f>IF(OR(E73="",D73=""),"",D73*Ajustes!$B$3)</f>
        <v/>
      </c>
      <c r="G73" s="6" t="n"/>
      <c r="H73" s="6" t="n"/>
    </row>
    <row r="74">
      <c r="A74" s="5" t="n"/>
      <c r="B74" s="6" t="n"/>
      <c r="C74" s="6" t="n"/>
      <c r="D74" s="7">
        <f>IF(C74="","",IFERROR(VLOOKUP(C74,Ajustes!$A$6:$B$8,2,FALSE),""))</f>
        <v/>
      </c>
      <c r="E74" s="6" t="n"/>
      <c r="F74" s="7">
        <f>IF(OR(E74="",D74=""),"",D74*Ajustes!$B$3)</f>
        <v/>
      </c>
      <c r="G74" s="6" t="n"/>
      <c r="H74" s="6" t="n"/>
    </row>
    <row r="75">
      <c r="A75" s="5" t="n"/>
      <c r="B75" s="6" t="n"/>
      <c r="C75" s="6" t="n"/>
      <c r="D75" s="7">
        <f>IF(C75="","",IFERROR(VLOOKUP(C75,Ajustes!$A$6:$B$8,2,FALSE),""))</f>
        <v/>
      </c>
      <c r="E75" s="6" t="n"/>
      <c r="F75" s="7">
        <f>IF(OR(E75="",D75=""),"",D75*Ajustes!$B$3)</f>
        <v/>
      </c>
      <c r="G75" s="6" t="n"/>
      <c r="H75" s="6" t="n"/>
    </row>
    <row r="76">
      <c r="A76" s="5" t="n"/>
      <c r="B76" s="6" t="n"/>
      <c r="C76" s="6" t="n"/>
      <c r="D76" s="7">
        <f>IF(C76="","",IFERROR(VLOOKUP(C76,Ajustes!$A$6:$B$8,2,FALSE),""))</f>
        <v/>
      </c>
      <c r="E76" s="6" t="n"/>
      <c r="F76" s="7">
        <f>IF(OR(E76="",D76=""),"",D76*Ajustes!$B$3)</f>
        <v/>
      </c>
      <c r="G76" s="6" t="n"/>
      <c r="H76" s="6" t="n"/>
    </row>
    <row r="77">
      <c r="A77" s="5" t="n"/>
      <c r="B77" s="6" t="n"/>
      <c r="C77" s="6" t="n"/>
      <c r="D77" s="7">
        <f>IF(C77="","",IFERROR(VLOOKUP(C77,Ajustes!$A$6:$B$8,2,FALSE),""))</f>
        <v/>
      </c>
      <c r="E77" s="6" t="n"/>
      <c r="F77" s="7">
        <f>IF(OR(E77="",D77=""),"",D77*Ajustes!$B$3)</f>
        <v/>
      </c>
      <c r="G77" s="6" t="n"/>
      <c r="H77" s="6" t="n"/>
    </row>
    <row r="78">
      <c r="A78" s="5" t="n"/>
      <c r="B78" s="6" t="n"/>
      <c r="C78" s="6" t="n"/>
      <c r="D78" s="7">
        <f>IF(C78="","",IFERROR(VLOOKUP(C78,Ajustes!$A$6:$B$8,2,FALSE),""))</f>
        <v/>
      </c>
      <c r="E78" s="6" t="n"/>
      <c r="F78" s="7">
        <f>IF(OR(E78="",D78=""),"",D78*Ajustes!$B$3)</f>
        <v/>
      </c>
      <c r="G78" s="6" t="n"/>
      <c r="H78" s="6" t="n"/>
    </row>
    <row r="79">
      <c r="A79" s="5" t="n"/>
      <c r="B79" s="6" t="n"/>
      <c r="C79" s="6" t="n"/>
      <c r="D79" s="7">
        <f>IF(C79="","",IFERROR(VLOOKUP(C79,Ajustes!$A$6:$B$8,2,FALSE),""))</f>
        <v/>
      </c>
      <c r="E79" s="6" t="n"/>
      <c r="F79" s="7">
        <f>IF(OR(E79="",D79=""),"",D79*Ajustes!$B$3)</f>
        <v/>
      </c>
      <c r="G79" s="6" t="n"/>
      <c r="H79" s="6" t="n"/>
    </row>
    <row r="80">
      <c r="A80" s="5" t="n"/>
      <c r="B80" s="6" t="n"/>
      <c r="C80" s="6" t="n"/>
      <c r="D80" s="7">
        <f>IF(C80="","",IFERROR(VLOOKUP(C80,Ajustes!$A$6:$B$8,2,FALSE),""))</f>
        <v/>
      </c>
      <c r="E80" s="6" t="n"/>
      <c r="F80" s="7">
        <f>IF(OR(E80="",D80=""),"",D80*Ajustes!$B$3)</f>
        <v/>
      </c>
      <c r="G80" s="6" t="n"/>
      <c r="H80" s="6" t="n"/>
    </row>
    <row r="81">
      <c r="A81" s="5" t="n"/>
      <c r="B81" s="6" t="n"/>
      <c r="C81" s="6" t="n"/>
      <c r="D81" s="7">
        <f>IF(C81="","",IFERROR(VLOOKUP(C81,Ajustes!$A$6:$B$8,2,FALSE),""))</f>
        <v/>
      </c>
      <c r="E81" s="6" t="n"/>
      <c r="F81" s="7">
        <f>IF(OR(E81="",D81=""),"",D81*Ajustes!$B$3)</f>
        <v/>
      </c>
      <c r="G81" s="6" t="n"/>
      <c r="H81" s="6" t="n"/>
    </row>
    <row r="82">
      <c r="A82" s="5" t="n"/>
      <c r="B82" s="6" t="n"/>
      <c r="C82" s="6" t="n"/>
      <c r="D82" s="7">
        <f>IF(C82="","",IFERROR(VLOOKUP(C82,Ajustes!$A$6:$B$8,2,FALSE),""))</f>
        <v/>
      </c>
      <c r="E82" s="6" t="n"/>
      <c r="F82" s="7">
        <f>IF(OR(E82="",D82=""),"",D82*Ajustes!$B$3)</f>
        <v/>
      </c>
      <c r="G82" s="6" t="n"/>
      <c r="H82" s="6" t="n"/>
    </row>
    <row r="83">
      <c r="A83" s="5" t="n"/>
      <c r="B83" s="6" t="n"/>
      <c r="C83" s="6" t="n"/>
      <c r="D83" s="7">
        <f>IF(C83="","",IFERROR(VLOOKUP(C83,Ajustes!$A$6:$B$8,2,FALSE),""))</f>
        <v/>
      </c>
      <c r="E83" s="6" t="n"/>
      <c r="F83" s="7">
        <f>IF(OR(E83="",D83=""),"",D83*Ajustes!$B$3)</f>
        <v/>
      </c>
      <c r="G83" s="6" t="n"/>
      <c r="H83" s="6" t="n"/>
    </row>
    <row r="84">
      <c r="A84" s="5" t="n"/>
      <c r="B84" s="6" t="n"/>
      <c r="C84" s="6" t="n"/>
      <c r="D84" s="7">
        <f>IF(C84="","",IFERROR(VLOOKUP(C84,Ajustes!$A$6:$B$8,2,FALSE),""))</f>
        <v/>
      </c>
      <c r="E84" s="6" t="n"/>
      <c r="F84" s="7">
        <f>IF(OR(E84="",D84=""),"",D84*Ajustes!$B$3)</f>
        <v/>
      </c>
      <c r="G84" s="6" t="n"/>
      <c r="H84" s="6" t="n"/>
    </row>
    <row r="85">
      <c r="A85" s="5" t="n"/>
      <c r="B85" s="6" t="n"/>
      <c r="C85" s="6" t="n"/>
      <c r="D85" s="7">
        <f>IF(C85="","",IFERROR(VLOOKUP(C85,Ajustes!$A$6:$B$8,2,FALSE),""))</f>
        <v/>
      </c>
      <c r="E85" s="6" t="n"/>
      <c r="F85" s="7">
        <f>IF(OR(E85="",D85=""),"",D85*Ajustes!$B$3)</f>
        <v/>
      </c>
      <c r="G85" s="6" t="n"/>
      <c r="H85" s="6" t="n"/>
    </row>
    <row r="86">
      <c r="A86" s="5" t="n"/>
      <c r="B86" s="6" t="n"/>
      <c r="C86" s="6" t="n"/>
      <c r="D86" s="7">
        <f>IF(C86="","",IFERROR(VLOOKUP(C86,Ajustes!$A$6:$B$8,2,FALSE),""))</f>
        <v/>
      </c>
      <c r="E86" s="6" t="n"/>
      <c r="F86" s="7">
        <f>IF(OR(E86="",D86=""),"",D86*Ajustes!$B$3)</f>
        <v/>
      </c>
      <c r="G86" s="6" t="n"/>
      <c r="H86" s="6" t="n"/>
    </row>
    <row r="87">
      <c r="A87" s="5" t="n"/>
      <c r="B87" s="6" t="n"/>
      <c r="C87" s="6" t="n"/>
      <c r="D87" s="7">
        <f>IF(C87="","",IFERROR(VLOOKUP(C87,Ajustes!$A$6:$B$8,2,FALSE),""))</f>
        <v/>
      </c>
      <c r="E87" s="6" t="n"/>
      <c r="F87" s="7">
        <f>IF(OR(E87="",D87=""),"",D87*Ajustes!$B$3)</f>
        <v/>
      </c>
      <c r="G87" s="6" t="n"/>
      <c r="H87" s="6" t="n"/>
    </row>
    <row r="88">
      <c r="A88" s="5" t="n"/>
      <c r="B88" s="6" t="n"/>
      <c r="C88" s="6" t="n"/>
      <c r="D88" s="7">
        <f>IF(C88="","",IFERROR(VLOOKUP(C88,Ajustes!$A$6:$B$8,2,FALSE),""))</f>
        <v/>
      </c>
      <c r="E88" s="6" t="n"/>
      <c r="F88" s="7">
        <f>IF(OR(E88="",D88=""),"",D88*Ajustes!$B$3)</f>
        <v/>
      </c>
      <c r="G88" s="6" t="n"/>
      <c r="H88" s="6" t="n"/>
    </row>
    <row r="89">
      <c r="A89" s="5" t="n"/>
      <c r="B89" s="6" t="n"/>
      <c r="C89" s="6" t="n"/>
      <c r="D89" s="7">
        <f>IF(C89="","",IFERROR(VLOOKUP(C89,Ajustes!$A$6:$B$8,2,FALSE),""))</f>
        <v/>
      </c>
      <c r="E89" s="6" t="n"/>
      <c r="F89" s="7">
        <f>IF(OR(E89="",D89=""),"",D89*Ajustes!$B$3)</f>
        <v/>
      </c>
      <c r="G89" s="6" t="n"/>
      <c r="H89" s="6" t="n"/>
    </row>
    <row r="90">
      <c r="A90" s="5" t="n"/>
      <c r="B90" s="6" t="n"/>
      <c r="C90" s="6" t="n"/>
      <c r="D90" s="7">
        <f>IF(C90="","",IFERROR(VLOOKUP(C90,Ajustes!$A$6:$B$8,2,FALSE),""))</f>
        <v/>
      </c>
      <c r="E90" s="6" t="n"/>
      <c r="F90" s="7">
        <f>IF(OR(E90="",D90=""),"",D90*Ajustes!$B$3)</f>
        <v/>
      </c>
      <c r="G90" s="6" t="n"/>
      <c r="H90" s="6" t="n"/>
    </row>
    <row r="91">
      <c r="A91" s="5" t="n"/>
      <c r="B91" s="6" t="n"/>
      <c r="C91" s="6" t="n"/>
      <c r="D91" s="7">
        <f>IF(C91="","",IFERROR(VLOOKUP(C91,Ajustes!$A$6:$B$8,2,FALSE),""))</f>
        <v/>
      </c>
      <c r="E91" s="6" t="n"/>
      <c r="F91" s="7">
        <f>IF(OR(E91="",D91=""),"",D91*Ajustes!$B$3)</f>
        <v/>
      </c>
      <c r="G91" s="6" t="n"/>
      <c r="H91" s="6" t="n"/>
    </row>
    <row r="92">
      <c r="A92" s="5" t="n"/>
      <c r="B92" s="6" t="n"/>
      <c r="C92" s="6" t="n"/>
      <c r="D92" s="7">
        <f>IF(C92="","",IFERROR(VLOOKUP(C92,Ajustes!$A$6:$B$8,2,FALSE),""))</f>
        <v/>
      </c>
      <c r="E92" s="6" t="n"/>
      <c r="F92" s="7">
        <f>IF(OR(E92="",D92=""),"",D92*Ajustes!$B$3)</f>
        <v/>
      </c>
      <c r="G92" s="6" t="n"/>
      <c r="H92" s="6" t="n"/>
    </row>
    <row r="93">
      <c r="A93" s="5" t="n"/>
      <c r="B93" s="6" t="n"/>
      <c r="C93" s="6" t="n"/>
      <c r="D93" s="7">
        <f>IF(C93="","",IFERROR(VLOOKUP(C93,Ajustes!$A$6:$B$8,2,FALSE),""))</f>
        <v/>
      </c>
      <c r="E93" s="6" t="n"/>
      <c r="F93" s="7">
        <f>IF(OR(E93="",D93=""),"",D93*Ajustes!$B$3)</f>
        <v/>
      </c>
      <c r="G93" s="6" t="n"/>
      <c r="H93" s="6" t="n"/>
    </row>
    <row r="94">
      <c r="A94" s="5" t="n"/>
      <c r="B94" s="6" t="n"/>
      <c r="C94" s="6" t="n"/>
      <c r="D94" s="7">
        <f>IF(C94="","",IFERROR(VLOOKUP(C94,Ajustes!$A$6:$B$8,2,FALSE),""))</f>
        <v/>
      </c>
      <c r="E94" s="6" t="n"/>
      <c r="F94" s="7">
        <f>IF(OR(E94="",D94=""),"",D94*Ajustes!$B$3)</f>
        <v/>
      </c>
      <c r="G94" s="6" t="n"/>
      <c r="H94" s="6" t="n"/>
    </row>
    <row r="95">
      <c r="A95" s="5" t="n"/>
      <c r="B95" s="6" t="n"/>
      <c r="C95" s="6" t="n"/>
      <c r="D95" s="7">
        <f>IF(C95="","",IFERROR(VLOOKUP(C95,Ajustes!$A$6:$B$8,2,FALSE),""))</f>
        <v/>
      </c>
      <c r="E95" s="6" t="n"/>
      <c r="F95" s="7">
        <f>IF(OR(E95="",D95=""),"",D95*Ajustes!$B$3)</f>
        <v/>
      </c>
      <c r="G95" s="6" t="n"/>
      <c r="H95" s="6" t="n"/>
    </row>
    <row r="96">
      <c r="A96" s="5" t="n"/>
      <c r="B96" s="6" t="n"/>
      <c r="C96" s="6" t="n"/>
      <c r="D96" s="7">
        <f>IF(C96="","",IFERROR(VLOOKUP(C96,Ajustes!$A$6:$B$8,2,FALSE),""))</f>
        <v/>
      </c>
      <c r="E96" s="6" t="n"/>
      <c r="F96" s="7">
        <f>IF(OR(E96="",D96=""),"",D96*Ajustes!$B$3)</f>
        <v/>
      </c>
      <c r="G96" s="6" t="n"/>
      <c r="H96" s="6" t="n"/>
    </row>
    <row r="97">
      <c r="A97" s="5" t="n"/>
      <c r="B97" s="6" t="n"/>
      <c r="C97" s="6" t="n"/>
      <c r="D97" s="7">
        <f>IF(C97="","",IFERROR(VLOOKUP(C97,Ajustes!$A$6:$B$8,2,FALSE),""))</f>
        <v/>
      </c>
      <c r="E97" s="6" t="n"/>
      <c r="F97" s="7">
        <f>IF(OR(E97="",D97=""),"",D97*Ajustes!$B$3)</f>
        <v/>
      </c>
      <c r="G97" s="6" t="n"/>
      <c r="H97" s="6" t="n"/>
    </row>
    <row r="98">
      <c r="A98" s="5" t="n"/>
      <c r="B98" s="6" t="n"/>
      <c r="C98" s="6" t="n"/>
      <c r="D98" s="7">
        <f>IF(C98="","",IFERROR(VLOOKUP(C98,Ajustes!$A$6:$B$8,2,FALSE),""))</f>
        <v/>
      </c>
      <c r="E98" s="6" t="n"/>
      <c r="F98" s="7">
        <f>IF(OR(E98="",D98=""),"",D98*Ajustes!$B$3)</f>
        <v/>
      </c>
      <c r="G98" s="6" t="n"/>
      <c r="H98" s="6" t="n"/>
    </row>
    <row r="99">
      <c r="A99" s="5" t="n"/>
      <c r="B99" s="6" t="n"/>
      <c r="C99" s="6" t="n"/>
      <c r="D99" s="7">
        <f>IF(C99="","",IFERROR(VLOOKUP(C99,Ajustes!$A$6:$B$8,2,FALSE),""))</f>
        <v/>
      </c>
      <c r="E99" s="6" t="n"/>
      <c r="F99" s="7">
        <f>IF(OR(E99="",D99=""),"",D99*Ajustes!$B$3)</f>
        <v/>
      </c>
      <c r="G99" s="6" t="n"/>
      <c r="H99" s="6" t="n"/>
    </row>
    <row r="100">
      <c r="A100" s="5" t="n"/>
      <c r="B100" s="6" t="n"/>
      <c r="C100" s="6" t="n"/>
      <c r="D100" s="7">
        <f>IF(C100="","",IFERROR(VLOOKUP(C100,Ajustes!$A$6:$B$8,2,FALSE),""))</f>
        <v/>
      </c>
      <c r="E100" s="6" t="n"/>
      <c r="F100" s="7">
        <f>IF(OR(E100="",D100=""),"",D100*Ajustes!$B$3)</f>
        <v/>
      </c>
      <c r="G100" s="6" t="n"/>
      <c r="H100" s="6" t="n"/>
    </row>
    <row r="101">
      <c r="A101" s="5" t="n"/>
      <c r="B101" s="6" t="n"/>
      <c r="C101" s="6" t="n"/>
      <c r="D101" s="7">
        <f>IF(C101="","",IFERROR(VLOOKUP(C101,Ajustes!$A$6:$B$8,2,FALSE),""))</f>
        <v/>
      </c>
      <c r="E101" s="6" t="n"/>
      <c r="F101" s="7">
        <f>IF(OR(E101="",D101=""),"",D101*Ajustes!$B$3)</f>
        <v/>
      </c>
      <c r="G101" s="6" t="n"/>
      <c r="H101" s="6" t="n"/>
    </row>
    <row r="102">
      <c r="A102" s="5" t="n"/>
      <c r="B102" s="6" t="n"/>
      <c r="C102" s="6" t="n"/>
      <c r="D102" s="7">
        <f>IF(C102="","",IFERROR(VLOOKUP(C102,Ajustes!$A$6:$B$8,2,FALSE),""))</f>
        <v/>
      </c>
      <c r="E102" s="6" t="n"/>
      <c r="F102" s="7">
        <f>IF(OR(E102="",D102=""),"",D102*Ajustes!$B$3)</f>
        <v/>
      </c>
      <c r="G102" s="6" t="n"/>
      <c r="H102" s="6" t="n"/>
    </row>
    <row r="103">
      <c r="A103" s="5" t="n"/>
      <c r="B103" s="6" t="n"/>
      <c r="C103" s="6" t="n"/>
      <c r="D103" s="7">
        <f>IF(C103="","",IFERROR(VLOOKUP(C103,Ajustes!$A$6:$B$8,2,FALSE),""))</f>
        <v/>
      </c>
      <c r="E103" s="6" t="n"/>
      <c r="F103" s="7">
        <f>IF(OR(E103="",D103=""),"",D103*Ajustes!$B$3)</f>
        <v/>
      </c>
      <c r="G103" s="6" t="n"/>
      <c r="H103" s="6" t="n"/>
    </row>
    <row r="104">
      <c r="A104" s="5" t="n"/>
      <c r="B104" s="6" t="n"/>
      <c r="C104" s="6" t="n"/>
      <c r="D104" s="7">
        <f>IF(C104="","",IFERROR(VLOOKUP(C104,Ajustes!$A$6:$B$8,2,FALSE),""))</f>
        <v/>
      </c>
      <c r="E104" s="6" t="n"/>
      <c r="F104" s="7">
        <f>IF(OR(E104="",D104=""),"",D104*Ajustes!$B$3)</f>
        <v/>
      </c>
      <c r="G104" s="6" t="n"/>
      <c r="H104" s="6" t="n"/>
    </row>
    <row r="105">
      <c r="A105" s="5" t="n"/>
      <c r="B105" s="6" t="n"/>
      <c r="C105" s="6" t="n"/>
      <c r="D105" s="7">
        <f>IF(C105="","",IFERROR(VLOOKUP(C105,Ajustes!$A$6:$B$8,2,FALSE),""))</f>
        <v/>
      </c>
      <c r="E105" s="6" t="n"/>
      <c r="F105" s="7">
        <f>IF(OR(E105="",D105=""),"",D105*Ajustes!$B$3)</f>
        <v/>
      </c>
      <c r="G105" s="6" t="n"/>
      <c r="H105" s="6" t="n"/>
    </row>
    <row r="106">
      <c r="A106" s="5" t="n"/>
      <c r="B106" s="6" t="n"/>
      <c r="C106" s="6" t="n"/>
      <c r="D106" s="7">
        <f>IF(C106="","",IFERROR(VLOOKUP(C106,Ajustes!$A$6:$B$8,2,FALSE),""))</f>
        <v/>
      </c>
      <c r="E106" s="6" t="n"/>
      <c r="F106" s="7">
        <f>IF(OR(E106="",D106=""),"",D106*Ajustes!$B$3)</f>
        <v/>
      </c>
      <c r="G106" s="6" t="n"/>
      <c r="H106" s="6" t="n"/>
    </row>
    <row r="107">
      <c r="A107" s="5" t="n"/>
      <c r="B107" s="6" t="n"/>
      <c r="C107" s="6" t="n"/>
      <c r="D107" s="7">
        <f>IF(C107="","",IFERROR(VLOOKUP(C107,Ajustes!$A$6:$B$8,2,FALSE),""))</f>
        <v/>
      </c>
      <c r="E107" s="6" t="n"/>
      <c r="F107" s="7">
        <f>IF(OR(E107="",D107=""),"",D107*Ajustes!$B$3)</f>
        <v/>
      </c>
      <c r="G107" s="6" t="n"/>
      <c r="H107" s="6" t="n"/>
    </row>
    <row r="108">
      <c r="A108" s="5" t="n"/>
      <c r="B108" s="6" t="n"/>
      <c r="C108" s="6" t="n"/>
      <c r="D108" s="7">
        <f>IF(C108="","",IFERROR(VLOOKUP(C108,Ajustes!$A$6:$B$8,2,FALSE),""))</f>
        <v/>
      </c>
      <c r="E108" s="6" t="n"/>
      <c r="F108" s="7">
        <f>IF(OR(E108="",D108=""),"",D108*Ajustes!$B$3)</f>
        <v/>
      </c>
      <c r="G108" s="6" t="n"/>
      <c r="H108" s="6" t="n"/>
    </row>
    <row r="109">
      <c r="A109" s="5" t="n"/>
      <c r="B109" s="6" t="n"/>
      <c r="C109" s="6" t="n"/>
      <c r="D109" s="7">
        <f>IF(C109="","",IFERROR(VLOOKUP(C109,Ajustes!$A$6:$B$8,2,FALSE),""))</f>
        <v/>
      </c>
      <c r="E109" s="6" t="n"/>
      <c r="F109" s="7">
        <f>IF(OR(E109="",D109=""),"",D109*Ajustes!$B$3)</f>
        <v/>
      </c>
      <c r="G109" s="6" t="n"/>
      <c r="H109" s="6" t="n"/>
    </row>
    <row r="110">
      <c r="A110" s="5" t="n"/>
      <c r="B110" s="6" t="n"/>
      <c r="C110" s="6" t="n"/>
      <c r="D110" s="7">
        <f>IF(C110="","",IFERROR(VLOOKUP(C110,Ajustes!$A$6:$B$8,2,FALSE),""))</f>
        <v/>
      </c>
      <c r="E110" s="6" t="n"/>
      <c r="F110" s="7">
        <f>IF(OR(E110="",D110=""),"",D110*Ajustes!$B$3)</f>
        <v/>
      </c>
      <c r="G110" s="6" t="n"/>
      <c r="H110" s="6" t="n"/>
    </row>
    <row r="111">
      <c r="A111" s="5" t="n"/>
      <c r="B111" s="6" t="n"/>
      <c r="C111" s="6" t="n"/>
      <c r="D111" s="7">
        <f>IF(C111="","",IFERROR(VLOOKUP(C111,Ajustes!$A$6:$B$8,2,FALSE),""))</f>
        <v/>
      </c>
      <c r="E111" s="6" t="n"/>
      <c r="F111" s="7">
        <f>IF(OR(E111="",D111=""),"",D111*Ajustes!$B$3)</f>
        <v/>
      </c>
      <c r="G111" s="6" t="n"/>
      <c r="H111" s="6" t="n"/>
    </row>
    <row r="112">
      <c r="A112" s="5" t="n"/>
      <c r="B112" s="6" t="n"/>
      <c r="C112" s="6" t="n"/>
      <c r="D112" s="7">
        <f>IF(C112="","",IFERROR(VLOOKUP(C112,Ajustes!$A$6:$B$8,2,FALSE),""))</f>
        <v/>
      </c>
      <c r="E112" s="6" t="n"/>
      <c r="F112" s="7">
        <f>IF(OR(E112="",D112=""),"",D112*Ajustes!$B$3)</f>
        <v/>
      </c>
      <c r="G112" s="6" t="n"/>
      <c r="H112" s="6" t="n"/>
    </row>
    <row r="113">
      <c r="A113" s="5" t="n"/>
      <c r="B113" s="6" t="n"/>
      <c r="C113" s="6" t="n"/>
      <c r="D113" s="7">
        <f>IF(C113="","",IFERROR(VLOOKUP(C113,Ajustes!$A$6:$B$8,2,FALSE),""))</f>
        <v/>
      </c>
      <c r="E113" s="6" t="n"/>
      <c r="F113" s="7">
        <f>IF(OR(E113="",D113=""),"",D113*Ajustes!$B$3)</f>
        <v/>
      </c>
      <c r="G113" s="6" t="n"/>
      <c r="H113" s="6" t="n"/>
    </row>
    <row r="114">
      <c r="A114" s="5" t="n"/>
      <c r="B114" s="6" t="n"/>
      <c r="C114" s="6" t="n"/>
      <c r="D114" s="7">
        <f>IF(C114="","",IFERROR(VLOOKUP(C114,Ajustes!$A$6:$B$8,2,FALSE),""))</f>
        <v/>
      </c>
      <c r="E114" s="6" t="n"/>
      <c r="F114" s="7">
        <f>IF(OR(E114="",D114=""),"",D114*Ajustes!$B$3)</f>
        <v/>
      </c>
      <c r="G114" s="6" t="n"/>
      <c r="H114" s="6" t="n"/>
    </row>
    <row r="115">
      <c r="A115" s="5" t="n"/>
      <c r="B115" s="6" t="n"/>
      <c r="C115" s="6" t="n"/>
      <c r="D115" s="7">
        <f>IF(C115="","",IFERROR(VLOOKUP(C115,Ajustes!$A$6:$B$8,2,FALSE),""))</f>
        <v/>
      </c>
      <c r="E115" s="6" t="n"/>
      <c r="F115" s="7">
        <f>IF(OR(E115="",D115=""),"",D115*Ajustes!$B$3)</f>
        <v/>
      </c>
      <c r="G115" s="6" t="n"/>
      <c r="H115" s="6" t="n"/>
    </row>
    <row r="116">
      <c r="A116" s="5" t="n"/>
      <c r="B116" s="6" t="n"/>
      <c r="C116" s="6" t="n"/>
      <c r="D116" s="7">
        <f>IF(C116="","",IFERROR(VLOOKUP(C116,Ajustes!$A$6:$B$8,2,FALSE),""))</f>
        <v/>
      </c>
      <c r="E116" s="6" t="n"/>
      <c r="F116" s="7">
        <f>IF(OR(E116="",D116=""),"",D116*Ajustes!$B$3)</f>
        <v/>
      </c>
      <c r="G116" s="6" t="n"/>
      <c r="H116" s="6" t="n"/>
    </row>
    <row r="117">
      <c r="A117" s="5" t="n"/>
      <c r="B117" s="6" t="n"/>
      <c r="C117" s="6" t="n"/>
      <c r="D117" s="7">
        <f>IF(C117="","",IFERROR(VLOOKUP(C117,Ajustes!$A$6:$B$8,2,FALSE),""))</f>
        <v/>
      </c>
      <c r="E117" s="6" t="n"/>
      <c r="F117" s="7">
        <f>IF(OR(E117="",D117=""),"",D117*Ajustes!$B$3)</f>
        <v/>
      </c>
      <c r="G117" s="6" t="n"/>
      <c r="H117" s="6" t="n"/>
    </row>
    <row r="118">
      <c r="A118" s="5" t="n"/>
      <c r="B118" s="6" t="n"/>
      <c r="C118" s="6" t="n"/>
      <c r="D118" s="7">
        <f>IF(C118="","",IFERROR(VLOOKUP(C118,Ajustes!$A$6:$B$8,2,FALSE),""))</f>
        <v/>
      </c>
      <c r="E118" s="6" t="n"/>
      <c r="F118" s="7">
        <f>IF(OR(E118="",D118=""),"",D118*Ajustes!$B$3)</f>
        <v/>
      </c>
      <c r="G118" s="6" t="n"/>
      <c r="H118" s="6" t="n"/>
    </row>
    <row r="119">
      <c r="A119" s="5" t="n"/>
      <c r="B119" s="6" t="n"/>
      <c r="C119" s="6" t="n"/>
      <c r="D119" s="7">
        <f>IF(C119="","",IFERROR(VLOOKUP(C119,Ajustes!$A$6:$B$8,2,FALSE),""))</f>
        <v/>
      </c>
      <c r="E119" s="6" t="n"/>
      <c r="F119" s="7">
        <f>IF(OR(E119="",D119=""),"",D119*Ajustes!$B$3)</f>
        <v/>
      </c>
      <c r="G119" s="6" t="n"/>
      <c r="H119" s="6" t="n"/>
    </row>
    <row r="120">
      <c r="A120" s="5" t="n"/>
      <c r="B120" s="6" t="n"/>
      <c r="C120" s="6" t="n"/>
      <c r="D120" s="7">
        <f>IF(C120="","",IFERROR(VLOOKUP(C120,Ajustes!$A$6:$B$8,2,FALSE),""))</f>
        <v/>
      </c>
      <c r="E120" s="6" t="n"/>
      <c r="F120" s="7">
        <f>IF(OR(E120="",D120=""),"",D120*Ajustes!$B$3)</f>
        <v/>
      </c>
      <c r="G120" s="6" t="n"/>
      <c r="H120" s="6" t="n"/>
    </row>
    <row r="121">
      <c r="A121" s="5" t="n"/>
      <c r="B121" s="6" t="n"/>
      <c r="C121" s="6" t="n"/>
      <c r="D121" s="7">
        <f>IF(C121="","",IFERROR(VLOOKUP(C121,Ajustes!$A$6:$B$8,2,FALSE),""))</f>
        <v/>
      </c>
      <c r="E121" s="6" t="n"/>
      <c r="F121" s="7">
        <f>IF(OR(E121="",D121=""),"",D121*Ajustes!$B$3)</f>
        <v/>
      </c>
      <c r="G121" s="6" t="n"/>
      <c r="H121" s="6" t="n"/>
    </row>
    <row r="122">
      <c r="A122" s="5" t="n"/>
      <c r="B122" s="6" t="n"/>
      <c r="C122" s="6" t="n"/>
      <c r="D122" s="7">
        <f>IF(C122="","",IFERROR(VLOOKUP(C122,Ajustes!$A$6:$B$8,2,FALSE),""))</f>
        <v/>
      </c>
      <c r="E122" s="6" t="n"/>
      <c r="F122" s="7">
        <f>IF(OR(E122="",D122=""),"",D122*Ajustes!$B$3)</f>
        <v/>
      </c>
      <c r="G122" s="6" t="n"/>
      <c r="H122" s="6" t="n"/>
    </row>
    <row r="123">
      <c r="A123" s="5" t="n"/>
      <c r="B123" s="6" t="n"/>
      <c r="C123" s="6" t="n"/>
      <c r="D123" s="7">
        <f>IF(C123="","",IFERROR(VLOOKUP(C123,Ajustes!$A$6:$B$8,2,FALSE),""))</f>
        <v/>
      </c>
      <c r="E123" s="6" t="n"/>
      <c r="F123" s="7">
        <f>IF(OR(E123="",D123=""),"",D123*Ajustes!$B$3)</f>
        <v/>
      </c>
      <c r="G123" s="6" t="n"/>
      <c r="H123" s="6" t="n"/>
    </row>
    <row r="124">
      <c r="A124" s="5" t="n"/>
      <c r="B124" s="6" t="n"/>
      <c r="C124" s="6" t="n"/>
      <c r="D124" s="7">
        <f>IF(C124="","",IFERROR(VLOOKUP(C124,Ajustes!$A$6:$B$8,2,FALSE),""))</f>
        <v/>
      </c>
      <c r="E124" s="6" t="n"/>
      <c r="F124" s="7">
        <f>IF(OR(E124="",D124=""),"",D124*Ajustes!$B$3)</f>
        <v/>
      </c>
      <c r="G124" s="6" t="n"/>
      <c r="H124" s="6" t="n"/>
    </row>
    <row r="125">
      <c r="A125" s="5" t="n"/>
      <c r="B125" s="6" t="n"/>
      <c r="C125" s="6" t="n"/>
      <c r="D125" s="7">
        <f>IF(C125="","",IFERROR(VLOOKUP(C125,Ajustes!$A$6:$B$8,2,FALSE),""))</f>
        <v/>
      </c>
      <c r="E125" s="6" t="n"/>
      <c r="F125" s="7">
        <f>IF(OR(E125="",D125=""),"",D125*Ajustes!$B$3)</f>
        <v/>
      </c>
      <c r="G125" s="6" t="n"/>
      <c r="H125" s="6" t="n"/>
    </row>
    <row r="126">
      <c r="A126" s="5" t="n"/>
      <c r="B126" s="6" t="n"/>
      <c r="C126" s="6" t="n"/>
      <c r="D126" s="7">
        <f>IF(C126="","",IFERROR(VLOOKUP(C126,Ajustes!$A$6:$B$8,2,FALSE),""))</f>
        <v/>
      </c>
      <c r="E126" s="6" t="n"/>
      <c r="F126" s="7">
        <f>IF(OR(E126="",D126=""),"",D126*Ajustes!$B$3)</f>
        <v/>
      </c>
      <c r="G126" s="6" t="n"/>
      <c r="H126" s="6" t="n"/>
    </row>
    <row r="127">
      <c r="A127" s="5" t="n"/>
      <c r="B127" s="6" t="n"/>
      <c r="C127" s="6" t="n"/>
      <c r="D127" s="7">
        <f>IF(C127="","",IFERROR(VLOOKUP(C127,Ajustes!$A$6:$B$8,2,FALSE),""))</f>
        <v/>
      </c>
      <c r="E127" s="6" t="n"/>
      <c r="F127" s="7">
        <f>IF(OR(E127="",D127=""),"",D127*Ajustes!$B$3)</f>
        <v/>
      </c>
      <c r="G127" s="6" t="n"/>
      <c r="H127" s="6" t="n"/>
    </row>
    <row r="128">
      <c r="A128" s="5" t="n"/>
      <c r="B128" s="6" t="n"/>
      <c r="C128" s="6" t="n"/>
      <c r="D128" s="7">
        <f>IF(C128="","",IFERROR(VLOOKUP(C128,Ajustes!$A$6:$B$8,2,FALSE),""))</f>
        <v/>
      </c>
      <c r="E128" s="6" t="n"/>
      <c r="F128" s="7">
        <f>IF(OR(E128="",D128=""),"",D128*Ajustes!$B$3)</f>
        <v/>
      </c>
      <c r="G128" s="6" t="n"/>
      <c r="H128" s="6" t="n"/>
    </row>
    <row r="129">
      <c r="A129" s="5" t="n"/>
      <c r="B129" s="6" t="n"/>
      <c r="C129" s="6" t="n"/>
      <c r="D129" s="7">
        <f>IF(C129="","",IFERROR(VLOOKUP(C129,Ajustes!$A$6:$B$8,2,FALSE),""))</f>
        <v/>
      </c>
      <c r="E129" s="6" t="n"/>
      <c r="F129" s="7">
        <f>IF(OR(E129="",D129=""),"",D129*Ajustes!$B$3)</f>
        <v/>
      </c>
      <c r="G129" s="6" t="n"/>
      <c r="H129" s="6" t="n"/>
    </row>
    <row r="130">
      <c r="A130" s="5" t="n"/>
      <c r="B130" s="6" t="n"/>
      <c r="C130" s="6" t="n"/>
      <c r="D130" s="7">
        <f>IF(C130="","",IFERROR(VLOOKUP(C130,Ajustes!$A$6:$B$8,2,FALSE),""))</f>
        <v/>
      </c>
      <c r="E130" s="6" t="n"/>
      <c r="F130" s="7">
        <f>IF(OR(E130="",D130=""),"",D130*Ajustes!$B$3)</f>
        <v/>
      </c>
      <c r="G130" s="6" t="n"/>
      <c r="H130" s="6" t="n"/>
    </row>
    <row r="131">
      <c r="A131" s="5" t="n"/>
      <c r="B131" s="6" t="n"/>
      <c r="C131" s="6" t="n"/>
      <c r="D131" s="7">
        <f>IF(C131="","",IFERROR(VLOOKUP(C131,Ajustes!$A$6:$B$8,2,FALSE),""))</f>
        <v/>
      </c>
      <c r="E131" s="6" t="n"/>
      <c r="F131" s="7">
        <f>IF(OR(E131="",D131=""),"",D131*Ajustes!$B$3)</f>
        <v/>
      </c>
      <c r="G131" s="6" t="n"/>
      <c r="H131" s="6" t="n"/>
    </row>
    <row r="132">
      <c r="A132" s="5" t="n"/>
      <c r="B132" s="6" t="n"/>
      <c r="C132" s="6" t="n"/>
      <c r="D132" s="7">
        <f>IF(C132="","",IFERROR(VLOOKUP(C132,Ajustes!$A$6:$B$8,2,FALSE),""))</f>
        <v/>
      </c>
      <c r="E132" s="6" t="n"/>
      <c r="F132" s="7">
        <f>IF(OR(E132="",D132=""),"",D132*Ajustes!$B$3)</f>
        <v/>
      </c>
      <c r="G132" s="6" t="n"/>
      <c r="H132" s="6" t="n"/>
    </row>
    <row r="133">
      <c r="A133" s="5" t="n"/>
      <c r="B133" s="6" t="n"/>
      <c r="C133" s="6" t="n"/>
      <c r="D133" s="7">
        <f>IF(C133="","",IFERROR(VLOOKUP(C133,Ajustes!$A$6:$B$8,2,FALSE),""))</f>
        <v/>
      </c>
      <c r="E133" s="6" t="n"/>
      <c r="F133" s="7">
        <f>IF(OR(E133="",D133=""),"",D133*Ajustes!$B$3)</f>
        <v/>
      </c>
      <c r="G133" s="6" t="n"/>
      <c r="H133" s="6" t="n"/>
    </row>
    <row r="134">
      <c r="A134" s="5" t="n"/>
      <c r="B134" s="6" t="n"/>
      <c r="C134" s="6" t="n"/>
      <c r="D134" s="7">
        <f>IF(C134="","",IFERROR(VLOOKUP(C134,Ajustes!$A$6:$B$8,2,FALSE),""))</f>
        <v/>
      </c>
      <c r="E134" s="6" t="n"/>
      <c r="F134" s="7">
        <f>IF(OR(E134="",D134=""),"",D134*Ajustes!$B$3)</f>
        <v/>
      </c>
      <c r="G134" s="6" t="n"/>
      <c r="H134" s="6" t="n"/>
    </row>
    <row r="135">
      <c r="A135" s="5" t="n"/>
      <c r="B135" s="6" t="n"/>
      <c r="C135" s="6" t="n"/>
      <c r="D135" s="7">
        <f>IF(C135="","",IFERROR(VLOOKUP(C135,Ajustes!$A$6:$B$8,2,FALSE),""))</f>
        <v/>
      </c>
      <c r="E135" s="6" t="n"/>
      <c r="F135" s="7">
        <f>IF(OR(E135="",D135=""),"",D135*Ajustes!$B$3)</f>
        <v/>
      </c>
      <c r="G135" s="6" t="n"/>
      <c r="H135" s="6" t="n"/>
    </row>
    <row r="136">
      <c r="A136" s="5" t="n"/>
      <c r="B136" s="6" t="n"/>
      <c r="C136" s="6" t="n"/>
      <c r="D136" s="7">
        <f>IF(C136="","",IFERROR(VLOOKUP(C136,Ajustes!$A$6:$B$8,2,FALSE),""))</f>
        <v/>
      </c>
      <c r="E136" s="6" t="n"/>
      <c r="F136" s="7">
        <f>IF(OR(E136="",D136=""),"",D136*Ajustes!$B$3)</f>
        <v/>
      </c>
      <c r="G136" s="6" t="n"/>
      <c r="H136" s="6" t="n"/>
    </row>
    <row r="137">
      <c r="A137" s="5" t="n"/>
      <c r="B137" s="6" t="n"/>
      <c r="C137" s="6" t="n"/>
      <c r="D137" s="7">
        <f>IF(C137="","",IFERROR(VLOOKUP(C137,Ajustes!$A$6:$B$8,2,FALSE),""))</f>
        <v/>
      </c>
      <c r="E137" s="6" t="n"/>
      <c r="F137" s="7">
        <f>IF(OR(E137="",D137=""),"",D137*Ajustes!$B$3)</f>
        <v/>
      </c>
      <c r="G137" s="6" t="n"/>
      <c r="H137" s="6" t="n"/>
    </row>
    <row r="138">
      <c r="A138" s="5" t="n"/>
      <c r="B138" s="6" t="n"/>
      <c r="C138" s="6" t="n"/>
      <c r="D138" s="7">
        <f>IF(C138="","",IFERROR(VLOOKUP(C138,Ajustes!$A$6:$B$8,2,FALSE),""))</f>
        <v/>
      </c>
      <c r="E138" s="6" t="n"/>
      <c r="F138" s="7">
        <f>IF(OR(E138="",D138=""),"",D138*Ajustes!$B$3)</f>
        <v/>
      </c>
      <c r="G138" s="6" t="n"/>
      <c r="H138" s="6" t="n"/>
    </row>
    <row r="139">
      <c r="A139" s="5" t="n"/>
      <c r="B139" s="6" t="n"/>
      <c r="C139" s="6" t="n"/>
      <c r="D139" s="7">
        <f>IF(C139="","",IFERROR(VLOOKUP(C139,Ajustes!$A$6:$B$8,2,FALSE),""))</f>
        <v/>
      </c>
      <c r="E139" s="6" t="n"/>
      <c r="F139" s="7">
        <f>IF(OR(E139="",D139=""),"",D139*Ajustes!$B$3)</f>
        <v/>
      </c>
      <c r="G139" s="6" t="n"/>
      <c r="H139" s="6" t="n"/>
    </row>
    <row r="140">
      <c r="A140" s="5" t="n"/>
      <c r="B140" s="6" t="n"/>
      <c r="C140" s="6" t="n"/>
      <c r="D140" s="7">
        <f>IF(C140="","",IFERROR(VLOOKUP(C140,Ajustes!$A$6:$B$8,2,FALSE),""))</f>
        <v/>
      </c>
      <c r="E140" s="6" t="n"/>
      <c r="F140" s="7">
        <f>IF(OR(E140="",D140=""),"",D140*Ajustes!$B$3)</f>
        <v/>
      </c>
      <c r="G140" s="6" t="n"/>
      <c r="H140" s="6" t="n"/>
    </row>
    <row r="141">
      <c r="A141" s="5" t="n"/>
      <c r="B141" s="6" t="n"/>
      <c r="C141" s="6" t="n"/>
      <c r="D141" s="7">
        <f>IF(C141="","",IFERROR(VLOOKUP(C141,Ajustes!$A$6:$B$8,2,FALSE),""))</f>
        <v/>
      </c>
      <c r="E141" s="6" t="n"/>
      <c r="F141" s="7">
        <f>IF(OR(E141="",D141=""),"",D141*Ajustes!$B$3)</f>
        <v/>
      </c>
      <c r="G141" s="6" t="n"/>
      <c r="H141" s="6" t="n"/>
    </row>
    <row r="142">
      <c r="A142" s="5" t="n"/>
      <c r="B142" s="6" t="n"/>
      <c r="C142" s="6" t="n"/>
      <c r="D142" s="7">
        <f>IF(C142="","",IFERROR(VLOOKUP(C142,Ajustes!$A$6:$B$8,2,FALSE),""))</f>
        <v/>
      </c>
      <c r="E142" s="6" t="n"/>
      <c r="F142" s="7">
        <f>IF(OR(E142="",D142=""),"",D142*Ajustes!$B$3)</f>
        <v/>
      </c>
      <c r="G142" s="6" t="n"/>
      <c r="H142" s="6" t="n"/>
    </row>
    <row r="143">
      <c r="A143" s="5" t="n"/>
      <c r="B143" s="6" t="n"/>
      <c r="C143" s="6" t="n"/>
      <c r="D143" s="7">
        <f>IF(C143="","",IFERROR(VLOOKUP(C143,Ajustes!$A$6:$B$8,2,FALSE),""))</f>
        <v/>
      </c>
      <c r="E143" s="6" t="n"/>
      <c r="F143" s="7">
        <f>IF(OR(E143="",D143=""),"",D143*Ajustes!$B$3)</f>
        <v/>
      </c>
      <c r="G143" s="6" t="n"/>
      <c r="H143" s="6" t="n"/>
    </row>
    <row r="144">
      <c r="A144" s="5" t="n"/>
      <c r="B144" s="6" t="n"/>
      <c r="C144" s="6" t="n"/>
      <c r="D144" s="7">
        <f>IF(C144="","",IFERROR(VLOOKUP(C144,Ajustes!$A$6:$B$8,2,FALSE),""))</f>
        <v/>
      </c>
      <c r="E144" s="6" t="n"/>
      <c r="F144" s="7">
        <f>IF(OR(E144="",D144=""),"",D144*Ajustes!$B$3)</f>
        <v/>
      </c>
      <c r="G144" s="6" t="n"/>
      <c r="H144" s="6" t="n"/>
    </row>
    <row r="145">
      <c r="A145" s="5" t="n"/>
      <c r="B145" s="6" t="n"/>
      <c r="C145" s="6" t="n"/>
      <c r="D145" s="7">
        <f>IF(C145="","",IFERROR(VLOOKUP(C145,Ajustes!$A$6:$B$8,2,FALSE),""))</f>
        <v/>
      </c>
      <c r="E145" s="6" t="n"/>
      <c r="F145" s="7">
        <f>IF(OR(E145="",D145=""),"",D145*Ajustes!$B$3)</f>
        <v/>
      </c>
      <c r="G145" s="6" t="n"/>
      <c r="H145" s="6" t="n"/>
    </row>
    <row r="146">
      <c r="A146" s="5" t="n"/>
      <c r="B146" s="6" t="n"/>
      <c r="C146" s="6" t="n"/>
      <c r="D146" s="7">
        <f>IF(C146="","",IFERROR(VLOOKUP(C146,Ajustes!$A$6:$B$8,2,FALSE),""))</f>
        <v/>
      </c>
      <c r="E146" s="6" t="n"/>
      <c r="F146" s="7">
        <f>IF(OR(E146="",D146=""),"",D146*Ajustes!$B$3)</f>
        <v/>
      </c>
      <c r="G146" s="6" t="n"/>
      <c r="H146" s="6" t="n"/>
    </row>
    <row r="147">
      <c r="A147" s="5" t="n"/>
      <c r="B147" s="6" t="n"/>
      <c r="C147" s="6" t="n"/>
      <c r="D147" s="7">
        <f>IF(C147="","",IFERROR(VLOOKUP(C147,Ajustes!$A$6:$B$8,2,FALSE),""))</f>
        <v/>
      </c>
      <c r="E147" s="6" t="n"/>
      <c r="F147" s="7">
        <f>IF(OR(E147="",D147=""),"",D147*Ajustes!$B$3)</f>
        <v/>
      </c>
      <c r="G147" s="6" t="n"/>
      <c r="H147" s="6" t="n"/>
    </row>
    <row r="148">
      <c r="A148" s="5" t="n"/>
      <c r="B148" s="6" t="n"/>
      <c r="C148" s="6" t="n"/>
      <c r="D148" s="7">
        <f>IF(C148="","",IFERROR(VLOOKUP(C148,Ajustes!$A$6:$B$8,2,FALSE),""))</f>
        <v/>
      </c>
      <c r="E148" s="6" t="n"/>
      <c r="F148" s="7">
        <f>IF(OR(E148="",D148=""),"",D148*Ajustes!$B$3)</f>
        <v/>
      </c>
      <c r="G148" s="6" t="n"/>
      <c r="H148" s="6" t="n"/>
    </row>
    <row r="149">
      <c r="A149" s="5" t="n"/>
      <c r="B149" s="6" t="n"/>
      <c r="C149" s="6" t="n"/>
      <c r="D149" s="7">
        <f>IF(C149="","",IFERROR(VLOOKUP(C149,Ajustes!$A$6:$B$8,2,FALSE),""))</f>
        <v/>
      </c>
      <c r="E149" s="6" t="n"/>
      <c r="F149" s="7">
        <f>IF(OR(E149="",D149=""),"",D149*Ajustes!$B$3)</f>
        <v/>
      </c>
      <c r="G149" s="6" t="n"/>
      <c r="H149" s="6" t="n"/>
    </row>
    <row r="150">
      <c r="A150" s="5" t="n"/>
      <c r="B150" s="6" t="n"/>
      <c r="C150" s="6" t="n"/>
      <c r="D150" s="7">
        <f>IF(C150="","",IFERROR(VLOOKUP(C150,Ajustes!$A$6:$B$8,2,FALSE),""))</f>
        <v/>
      </c>
      <c r="E150" s="6" t="n"/>
      <c r="F150" s="7">
        <f>IF(OR(E150="",D150=""),"",D150*Ajustes!$B$3)</f>
        <v/>
      </c>
      <c r="G150" s="6" t="n"/>
      <c r="H150" s="6" t="n"/>
    </row>
    <row r="151">
      <c r="A151" s="5" t="n"/>
      <c r="B151" s="6" t="n"/>
      <c r="C151" s="6" t="n"/>
      <c r="D151" s="7">
        <f>IF(C151="","",IFERROR(VLOOKUP(C151,Ajustes!$A$6:$B$8,2,FALSE),""))</f>
        <v/>
      </c>
      <c r="E151" s="6" t="n"/>
      <c r="F151" s="7">
        <f>IF(OR(E151="",D151=""),"",D151*Ajustes!$B$3)</f>
        <v/>
      </c>
      <c r="G151" s="6" t="n"/>
      <c r="H151" s="6" t="n"/>
    </row>
    <row r="152">
      <c r="A152" s="5" t="n"/>
      <c r="B152" s="6" t="n"/>
      <c r="C152" s="6" t="n"/>
      <c r="D152" s="7">
        <f>IF(C152="","",IFERROR(VLOOKUP(C152,Ajustes!$A$6:$B$8,2,FALSE),""))</f>
        <v/>
      </c>
      <c r="E152" s="6" t="n"/>
      <c r="F152" s="7">
        <f>IF(OR(E152="",D152=""),"",D152*Ajustes!$B$3)</f>
        <v/>
      </c>
      <c r="G152" s="6" t="n"/>
      <c r="H152" s="6" t="n"/>
    </row>
    <row r="153">
      <c r="A153" s="5" t="n"/>
      <c r="B153" s="6" t="n"/>
      <c r="C153" s="6" t="n"/>
      <c r="D153" s="7">
        <f>IF(C153="","",IFERROR(VLOOKUP(C153,Ajustes!$A$6:$B$8,2,FALSE),""))</f>
        <v/>
      </c>
      <c r="E153" s="6" t="n"/>
      <c r="F153" s="7">
        <f>IF(OR(E153="",D153=""),"",D153*Ajustes!$B$3)</f>
        <v/>
      </c>
      <c r="G153" s="6" t="n"/>
      <c r="H153" s="6" t="n"/>
    </row>
    <row r="154">
      <c r="A154" s="5" t="n"/>
      <c r="B154" s="6" t="n"/>
      <c r="C154" s="6" t="n"/>
      <c r="D154" s="7">
        <f>IF(C154="","",IFERROR(VLOOKUP(C154,Ajustes!$A$6:$B$8,2,FALSE),""))</f>
        <v/>
      </c>
      <c r="E154" s="6" t="n"/>
      <c r="F154" s="7">
        <f>IF(OR(E154="",D154=""),"",D154*Ajustes!$B$3)</f>
        <v/>
      </c>
      <c r="G154" s="6" t="n"/>
      <c r="H154" s="6" t="n"/>
    </row>
    <row r="155">
      <c r="A155" s="5" t="n"/>
      <c r="B155" s="6" t="n"/>
      <c r="C155" s="6" t="n"/>
      <c r="D155" s="7">
        <f>IF(C155="","",IFERROR(VLOOKUP(C155,Ajustes!$A$6:$B$8,2,FALSE),""))</f>
        <v/>
      </c>
      <c r="E155" s="6" t="n"/>
      <c r="F155" s="7">
        <f>IF(OR(E155="",D155=""),"",D155*Ajustes!$B$3)</f>
        <v/>
      </c>
      <c r="G155" s="6" t="n"/>
      <c r="H155" s="6" t="n"/>
    </row>
    <row r="156">
      <c r="A156" s="5" t="n"/>
      <c r="B156" s="6" t="n"/>
      <c r="C156" s="6" t="n"/>
      <c r="D156" s="7">
        <f>IF(C156="","",IFERROR(VLOOKUP(C156,Ajustes!$A$6:$B$8,2,FALSE),""))</f>
        <v/>
      </c>
      <c r="E156" s="6" t="n"/>
      <c r="F156" s="7">
        <f>IF(OR(E156="",D156=""),"",D156*Ajustes!$B$3)</f>
        <v/>
      </c>
      <c r="G156" s="6" t="n"/>
      <c r="H156" s="6" t="n"/>
    </row>
    <row r="157">
      <c r="A157" s="5" t="n"/>
      <c r="B157" s="6" t="n"/>
      <c r="C157" s="6" t="n"/>
      <c r="D157" s="7">
        <f>IF(C157="","",IFERROR(VLOOKUP(C157,Ajustes!$A$6:$B$8,2,FALSE),""))</f>
        <v/>
      </c>
      <c r="E157" s="6" t="n"/>
      <c r="F157" s="7">
        <f>IF(OR(E157="",D157=""),"",D157*Ajustes!$B$3)</f>
        <v/>
      </c>
      <c r="G157" s="6" t="n"/>
      <c r="H157" s="6" t="n"/>
    </row>
    <row r="158">
      <c r="A158" s="5" t="n"/>
      <c r="B158" s="6" t="n"/>
      <c r="C158" s="6" t="n"/>
      <c r="D158" s="7">
        <f>IF(C158="","",IFERROR(VLOOKUP(C158,Ajustes!$A$6:$B$8,2,FALSE),""))</f>
        <v/>
      </c>
      <c r="E158" s="6" t="n"/>
      <c r="F158" s="7">
        <f>IF(OR(E158="",D158=""),"",D158*Ajustes!$B$3)</f>
        <v/>
      </c>
      <c r="G158" s="6" t="n"/>
      <c r="H158" s="6" t="n"/>
    </row>
    <row r="159">
      <c r="A159" s="5" t="n"/>
      <c r="B159" s="6" t="n"/>
      <c r="C159" s="6" t="n"/>
      <c r="D159" s="7">
        <f>IF(C159="","",IFERROR(VLOOKUP(C159,Ajustes!$A$6:$B$8,2,FALSE),""))</f>
        <v/>
      </c>
      <c r="E159" s="6" t="n"/>
      <c r="F159" s="7">
        <f>IF(OR(E159="",D159=""),"",D159*Ajustes!$B$3)</f>
        <v/>
      </c>
      <c r="G159" s="6" t="n"/>
      <c r="H159" s="6" t="n"/>
    </row>
    <row r="160">
      <c r="A160" s="5" t="n"/>
      <c r="B160" s="6" t="n"/>
      <c r="C160" s="6" t="n"/>
      <c r="D160" s="7">
        <f>IF(C160="","",IFERROR(VLOOKUP(C160,Ajustes!$A$6:$B$8,2,FALSE),""))</f>
        <v/>
      </c>
      <c r="E160" s="6" t="n"/>
      <c r="F160" s="7">
        <f>IF(OR(E160="",D160=""),"",D160*Ajustes!$B$3)</f>
        <v/>
      </c>
      <c r="G160" s="6" t="n"/>
      <c r="H160" s="6" t="n"/>
    </row>
    <row r="161">
      <c r="A161" s="5" t="n"/>
      <c r="B161" s="6" t="n"/>
      <c r="C161" s="6" t="n"/>
      <c r="D161" s="7">
        <f>IF(C161="","",IFERROR(VLOOKUP(C161,Ajustes!$A$6:$B$8,2,FALSE),""))</f>
        <v/>
      </c>
      <c r="E161" s="6" t="n"/>
      <c r="F161" s="7">
        <f>IF(OR(E161="",D161=""),"",D161*Ajustes!$B$3)</f>
        <v/>
      </c>
      <c r="G161" s="6" t="n"/>
      <c r="H161" s="6" t="n"/>
    </row>
    <row r="162">
      <c r="A162" s="5" t="n"/>
      <c r="B162" s="6" t="n"/>
      <c r="C162" s="6" t="n"/>
      <c r="D162" s="7">
        <f>IF(C162="","",IFERROR(VLOOKUP(C162,Ajustes!$A$6:$B$8,2,FALSE),""))</f>
        <v/>
      </c>
      <c r="E162" s="6" t="n"/>
      <c r="F162" s="7">
        <f>IF(OR(E162="",D162=""),"",D162*Ajustes!$B$3)</f>
        <v/>
      </c>
      <c r="G162" s="6" t="n"/>
      <c r="H162" s="6" t="n"/>
    </row>
    <row r="163">
      <c r="A163" s="5" t="n"/>
      <c r="B163" s="6" t="n"/>
      <c r="C163" s="6" t="n"/>
      <c r="D163" s="7">
        <f>IF(C163="","",IFERROR(VLOOKUP(C163,Ajustes!$A$6:$B$8,2,FALSE),""))</f>
        <v/>
      </c>
      <c r="E163" s="6" t="n"/>
      <c r="F163" s="7">
        <f>IF(OR(E163="",D163=""),"",D163*Ajustes!$B$3)</f>
        <v/>
      </c>
      <c r="G163" s="6" t="n"/>
      <c r="H163" s="6" t="n"/>
    </row>
    <row r="164">
      <c r="A164" s="5" t="n"/>
      <c r="B164" s="6" t="n"/>
      <c r="C164" s="6" t="n"/>
      <c r="D164" s="7">
        <f>IF(C164="","",IFERROR(VLOOKUP(C164,Ajustes!$A$6:$B$8,2,FALSE),""))</f>
        <v/>
      </c>
      <c r="E164" s="6" t="n"/>
      <c r="F164" s="7">
        <f>IF(OR(E164="",D164=""),"",D164*Ajustes!$B$3)</f>
        <v/>
      </c>
      <c r="G164" s="6" t="n"/>
      <c r="H164" s="6" t="n"/>
    </row>
    <row r="165">
      <c r="A165" s="5" t="n"/>
      <c r="B165" s="6" t="n"/>
      <c r="C165" s="6" t="n"/>
      <c r="D165" s="7">
        <f>IF(C165="","",IFERROR(VLOOKUP(C165,Ajustes!$A$6:$B$8,2,FALSE),""))</f>
        <v/>
      </c>
      <c r="E165" s="6" t="n"/>
      <c r="F165" s="7">
        <f>IF(OR(E165="",D165=""),"",D165*Ajustes!$B$3)</f>
        <v/>
      </c>
      <c r="G165" s="6" t="n"/>
      <c r="H165" s="6" t="n"/>
    </row>
    <row r="166">
      <c r="A166" s="5" t="n"/>
      <c r="B166" s="6" t="n"/>
      <c r="C166" s="6" t="n"/>
      <c r="D166" s="7">
        <f>IF(C166="","",IFERROR(VLOOKUP(C166,Ajustes!$A$6:$B$8,2,FALSE),""))</f>
        <v/>
      </c>
      <c r="E166" s="6" t="n"/>
      <c r="F166" s="7">
        <f>IF(OR(E166="",D166=""),"",D166*Ajustes!$B$3)</f>
        <v/>
      </c>
      <c r="G166" s="6" t="n"/>
      <c r="H166" s="6" t="n"/>
    </row>
    <row r="167">
      <c r="A167" s="5" t="n"/>
      <c r="B167" s="6" t="n"/>
      <c r="C167" s="6" t="n"/>
      <c r="D167" s="7">
        <f>IF(C167="","",IFERROR(VLOOKUP(C167,Ajustes!$A$6:$B$8,2,FALSE),""))</f>
        <v/>
      </c>
      <c r="E167" s="6" t="n"/>
      <c r="F167" s="7">
        <f>IF(OR(E167="",D167=""),"",D167*Ajustes!$B$3)</f>
        <v/>
      </c>
      <c r="G167" s="6" t="n"/>
      <c r="H167" s="6" t="n"/>
    </row>
    <row r="168">
      <c r="A168" s="5" t="n"/>
      <c r="B168" s="6" t="n"/>
      <c r="C168" s="6" t="n"/>
      <c r="D168" s="7">
        <f>IF(C168="","",IFERROR(VLOOKUP(C168,Ajustes!$A$6:$B$8,2,FALSE),""))</f>
        <v/>
      </c>
      <c r="E168" s="6" t="n"/>
      <c r="F168" s="7">
        <f>IF(OR(E168="",D168=""),"",D168*Ajustes!$B$3)</f>
        <v/>
      </c>
      <c r="G168" s="6" t="n"/>
      <c r="H168" s="6" t="n"/>
    </row>
    <row r="169">
      <c r="A169" s="5" t="n"/>
      <c r="B169" s="6" t="n"/>
      <c r="C169" s="6" t="n"/>
      <c r="D169" s="7">
        <f>IF(C169="","",IFERROR(VLOOKUP(C169,Ajustes!$A$6:$B$8,2,FALSE),""))</f>
        <v/>
      </c>
      <c r="E169" s="6" t="n"/>
      <c r="F169" s="7">
        <f>IF(OR(E169="",D169=""),"",D169*Ajustes!$B$3)</f>
        <v/>
      </c>
      <c r="G169" s="6" t="n"/>
      <c r="H169" s="6" t="n"/>
    </row>
    <row r="170">
      <c r="A170" s="5" t="n"/>
      <c r="B170" s="6" t="n"/>
      <c r="C170" s="6" t="n"/>
      <c r="D170" s="7">
        <f>IF(C170="","",IFERROR(VLOOKUP(C170,Ajustes!$A$6:$B$8,2,FALSE),""))</f>
        <v/>
      </c>
      <c r="E170" s="6" t="n"/>
      <c r="F170" s="7">
        <f>IF(OR(E170="",D170=""),"",D170*Ajustes!$B$3)</f>
        <v/>
      </c>
      <c r="G170" s="6" t="n"/>
      <c r="H170" s="6" t="n"/>
    </row>
    <row r="171">
      <c r="A171" s="5" t="n"/>
      <c r="B171" s="6" t="n"/>
      <c r="C171" s="6" t="n"/>
      <c r="D171" s="7">
        <f>IF(C171="","",IFERROR(VLOOKUP(C171,Ajustes!$A$6:$B$8,2,FALSE),""))</f>
        <v/>
      </c>
      <c r="E171" s="6" t="n"/>
      <c r="F171" s="7">
        <f>IF(OR(E171="",D171=""),"",D171*Ajustes!$B$3)</f>
        <v/>
      </c>
      <c r="G171" s="6" t="n"/>
      <c r="H171" s="6" t="n"/>
    </row>
    <row r="172">
      <c r="A172" s="5" t="n"/>
      <c r="B172" s="6" t="n"/>
      <c r="C172" s="6" t="n"/>
      <c r="D172" s="7">
        <f>IF(C172="","",IFERROR(VLOOKUP(C172,Ajustes!$A$6:$B$8,2,FALSE),""))</f>
        <v/>
      </c>
      <c r="E172" s="6" t="n"/>
      <c r="F172" s="7">
        <f>IF(OR(E172="",D172=""),"",D172*Ajustes!$B$3)</f>
        <v/>
      </c>
      <c r="G172" s="6" t="n"/>
      <c r="H172" s="6" t="n"/>
    </row>
    <row r="173">
      <c r="A173" s="5" t="n"/>
      <c r="B173" s="6" t="n"/>
      <c r="C173" s="6" t="n"/>
      <c r="D173" s="7">
        <f>IF(C173="","",IFERROR(VLOOKUP(C173,Ajustes!$A$6:$B$8,2,FALSE),""))</f>
        <v/>
      </c>
      <c r="E173" s="6" t="n"/>
      <c r="F173" s="7">
        <f>IF(OR(E173="",D173=""),"",D173*Ajustes!$B$3)</f>
        <v/>
      </c>
      <c r="G173" s="6" t="n"/>
      <c r="H173" s="6" t="n"/>
    </row>
    <row r="174">
      <c r="A174" s="5" t="n"/>
      <c r="B174" s="6" t="n"/>
      <c r="C174" s="6" t="n"/>
      <c r="D174" s="7">
        <f>IF(C174="","",IFERROR(VLOOKUP(C174,Ajustes!$A$6:$B$8,2,FALSE),""))</f>
        <v/>
      </c>
      <c r="E174" s="6" t="n"/>
      <c r="F174" s="7">
        <f>IF(OR(E174="",D174=""),"",D174*Ajustes!$B$3)</f>
        <v/>
      </c>
      <c r="G174" s="6" t="n"/>
      <c r="H174" s="6" t="n"/>
    </row>
    <row r="175">
      <c r="A175" s="5" t="n"/>
      <c r="B175" s="6" t="n"/>
      <c r="C175" s="6" t="n"/>
      <c r="D175" s="7">
        <f>IF(C175="","",IFERROR(VLOOKUP(C175,Ajustes!$A$6:$B$8,2,FALSE),""))</f>
        <v/>
      </c>
      <c r="E175" s="6" t="n"/>
      <c r="F175" s="7">
        <f>IF(OR(E175="",D175=""),"",D175*Ajustes!$B$3)</f>
        <v/>
      </c>
      <c r="G175" s="6" t="n"/>
      <c r="H175" s="6" t="n"/>
    </row>
    <row r="176">
      <c r="A176" s="5" t="n"/>
      <c r="B176" s="6" t="n"/>
      <c r="C176" s="6" t="n"/>
      <c r="D176" s="7">
        <f>IF(C176="","",IFERROR(VLOOKUP(C176,Ajustes!$A$6:$B$8,2,FALSE),""))</f>
        <v/>
      </c>
      <c r="E176" s="6" t="n"/>
      <c r="F176" s="7">
        <f>IF(OR(E176="",D176=""),"",D176*Ajustes!$B$3)</f>
        <v/>
      </c>
      <c r="G176" s="6" t="n"/>
      <c r="H176" s="6" t="n"/>
    </row>
    <row r="177">
      <c r="A177" s="5" t="n"/>
      <c r="B177" s="6" t="n"/>
      <c r="C177" s="6" t="n"/>
      <c r="D177" s="7">
        <f>IF(C177="","",IFERROR(VLOOKUP(C177,Ajustes!$A$6:$B$8,2,FALSE),""))</f>
        <v/>
      </c>
      <c r="E177" s="6" t="n"/>
      <c r="F177" s="7">
        <f>IF(OR(E177="",D177=""),"",D177*Ajustes!$B$3)</f>
        <v/>
      </c>
      <c r="G177" s="6" t="n"/>
      <c r="H177" s="6" t="n"/>
    </row>
    <row r="178">
      <c r="A178" s="5" t="n"/>
      <c r="B178" s="6" t="n"/>
      <c r="C178" s="6" t="n"/>
      <c r="D178" s="7">
        <f>IF(C178="","",IFERROR(VLOOKUP(C178,Ajustes!$A$6:$B$8,2,FALSE),""))</f>
        <v/>
      </c>
      <c r="E178" s="6" t="n"/>
      <c r="F178" s="7">
        <f>IF(OR(E178="",D178=""),"",D178*Ajustes!$B$3)</f>
        <v/>
      </c>
      <c r="G178" s="6" t="n"/>
      <c r="H178" s="6" t="n"/>
    </row>
    <row r="179">
      <c r="A179" s="5" t="n"/>
      <c r="B179" s="6" t="n"/>
      <c r="C179" s="6" t="n"/>
      <c r="D179" s="7">
        <f>IF(C179="","",IFERROR(VLOOKUP(C179,Ajustes!$A$6:$B$8,2,FALSE),""))</f>
        <v/>
      </c>
      <c r="E179" s="6" t="n"/>
      <c r="F179" s="7">
        <f>IF(OR(E179="",D179=""),"",D179*Ajustes!$B$3)</f>
        <v/>
      </c>
      <c r="G179" s="6" t="n"/>
      <c r="H179" s="6" t="n"/>
    </row>
    <row r="180">
      <c r="A180" s="5" t="n"/>
      <c r="B180" s="6" t="n"/>
      <c r="C180" s="6" t="n"/>
      <c r="D180" s="7">
        <f>IF(C180="","",IFERROR(VLOOKUP(C180,Ajustes!$A$6:$B$8,2,FALSE),""))</f>
        <v/>
      </c>
      <c r="E180" s="6" t="n"/>
      <c r="F180" s="7">
        <f>IF(OR(E180="",D180=""),"",D180*Ajustes!$B$3)</f>
        <v/>
      </c>
      <c r="G180" s="6" t="n"/>
      <c r="H180" s="6" t="n"/>
    </row>
    <row r="181">
      <c r="A181" s="5" t="n"/>
      <c r="B181" s="6" t="n"/>
      <c r="C181" s="6" t="n"/>
      <c r="D181" s="7">
        <f>IF(C181="","",IFERROR(VLOOKUP(C181,Ajustes!$A$6:$B$8,2,FALSE),""))</f>
        <v/>
      </c>
      <c r="E181" s="6" t="n"/>
      <c r="F181" s="7">
        <f>IF(OR(E181="",D181=""),"",D181*Ajustes!$B$3)</f>
        <v/>
      </c>
      <c r="G181" s="6" t="n"/>
      <c r="H181" s="6" t="n"/>
    </row>
    <row r="182">
      <c r="A182" s="5" t="n"/>
      <c r="B182" s="6" t="n"/>
      <c r="C182" s="6" t="n"/>
      <c r="D182" s="7">
        <f>IF(C182="","",IFERROR(VLOOKUP(C182,Ajustes!$A$6:$B$8,2,FALSE),""))</f>
        <v/>
      </c>
      <c r="E182" s="6" t="n"/>
      <c r="F182" s="7">
        <f>IF(OR(E182="",D182=""),"",D182*Ajustes!$B$3)</f>
        <v/>
      </c>
      <c r="G182" s="6" t="n"/>
      <c r="H182" s="6" t="n"/>
    </row>
    <row r="183">
      <c r="A183" s="5" t="n"/>
      <c r="B183" s="6" t="n"/>
      <c r="C183" s="6" t="n"/>
      <c r="D183" s="7">
        <f>IF(C183="","",IFERROR(VLOOKUP(C183,Ajustes!$A$6:$B$8,2,FALSE),""))</f>
        <v/>
      </c>
      <c r="E183" s="6" t="n"/>
      <c r="F183" s="7">
        <f>IF(OR(E183="",D183=""),"",D183*Ajustes!$B$3)</f>
        <v/>
      </c>
      <c r="G183" s="6" t="n"/>
      <c r="H183" s="6" t="n"/>
    </row>
    <row r="184">
      <c r="A184" s="5" t="n"/>
      <c r="B184" s="6" t="n"/>
      <c r="C184" s="6" t="n"/>
      <c r="D184" s="7">
        <f>IF(C184="","",IFERROR(VLOOKUP(C184,Ajustes!$A$6:$B$8,2,FALSE),""))</f>
        <v/>
      </c>
      <c r="E184" s="6" t="n"/>
      <c r="F184" s="7">
        <f>IF(OR(E184="",D184=""),"",D184*Ajustes!$B$3)</f>
        <v/>
      </c>
      <c r="G184" s="6" t="n"/>
      <c r="H184" s="6" t="n"/>
    </row>
    <row r="185">
      <c r="A185" s="5" t="n"/>
      <c r="B185" s="6" t="n"/>
      <c r="C185" s="6" t="n"/>
      <c r="D185" s="7">
        <f>IF(C185="","",IFERROR(VLOOKUP(C185,Ajustes!$A$6:$B$8,2,FALSE),""))</f>
        <v/>
      </c>
      <c r="E185" s="6" t="n"/>
      <c r="F185" s="7">
        <f>IF(OR(E185="",D185=""),"",D185*Ajustes!$B$3)</f>
        <v/>
      </c>
      <c r="G185" s="6" t="n"/>
      <c r="H185" s="6" t="n"/>
    </row>
    <row r="186">
      <c r="A186" s="5" t="n"/>
      <c r="B186" s="6" t="n"/>
      <c r="C186" s="6" t="n"/>
      <c r="D186" s="7">
        <f>IF(C186="","",IFERROR(VLOOKUP(C186,Ajustes!$A$6:$B$8,2,FALSE),""))</f>
        <v/>
      </c>
      <c r="E186" s="6" t="n"/>
      <c r="F186" s="7">
        <f>IF(OR(E186="",D186=""),"",D186*Ajustes!$B$3)</f>
        <v/>
      </c>
      <c r="G186" s="6" t="n"/>
      <c r="H186" s="6" t="n"/>
    </row>
    <row r="187">
      <c r="A187" s="5" t="n"/>
      <c r="B187" s="6" t="n"/>
      <c r="C187" s="6" t="n"/>
      <c r="D187" s="7">
        <f>IF(C187="","",IFERROR(VLOOKUP(C187,Ajustes!$A$6:$B$8,2,FALSE),""))</f>
        <v/>
      </c>
      <c r="E187" s="6" t="n"/>
      <c r="F187" s="7">
        <f>IF(OR(E187="",D187=""),"",D187*Ajustes!$B$3)</f>
        <v/>
      </c>
      <c r="G187" s="6" t="n"/>
      <c r="H187" s="6" t="n"/>
    </row>
    <row r="188">
      <c r="A188" s="5" t="n"/>
      <c r="B188" s="6" t="n"/>
      <c r="C188" s="6" t="n"/>
      <c r="D188" s="7">
        <f>IF(C188="","",IFERROR(VLOOKUP(C188,Ajustes!$A$6:$B$8,2,FALSE),""))</f>
        <v/>
      </c>
      <c r="E188" s="6" t="n"/>
      <c r="F188" s="7">
        <f>IF(OR(E188="",D188=""),"",D188*Ajustes!$B$3)</f>
        <v/>
      </c>
      <c r="G188" s="6" t="n"/>
      <c r="H188" s="6" t="n"/>
    </row>
    <row r="189">
      <c r="A189" s="5" t="n"/>
      <c r="B189" s="6" t="n"/>
      <c r="C189" s="6" t="n"/>
      <c r="D189" s="7">
        <f>IF(C189="","",IFERROR(VLOOKUP(C189,Ajustes!$A$6:$B$8,2,FALSE),""))</f>
        <v/>
      </c>
      <c r="E189" s="6" t="n"/>
      <c r="F189" s="7">
        <f>IF(OR(E189="",D189=""),"",D189*Ajustes!$B$3)</f>
        <v/>
      </c>
      <c r="G189" s="6" t="n"/>
      <c r="H189" s="6" t="n"/>
    </row>
    <row r="190">
      <c r="A190" s="5" t="n"/>
      <c r="B190" s="6" t="n"/>
      <c r="C190" s="6" t="n"/>
      <c r="D190" s="7">
        <f>IF(C190="","",IFERROR(VLOOKUP(C190,Ajustes!$A$6:$B$8,2,FALSE),""))</f>
        <v/>
      </c>
      <c r="E190" s="6" t="n"/>
      <c r="F190" s="7">
        <f>IF(OR(E190="",D190=""),"",D190*Ajustes!$B$3)</f>
        <v/>
      </c>
      <c r="G190" s="6" t="n"/>
      <c r="H190" s="6" t="n"/>
    </row>
    <row r="191">
      <c r="A191" s="5" t="n"/>
      <c r="B191" s="6" t="n"/>
      <c r="C191" s="6" t="n"/>
      <c r="D191" s="7">
        <f>IF(C191="","",IFERROR(VLOOKUP(C191,Ajustes!$A$6:$B$8,2,FALSE),""))</f>
        <v/>
      </c>
      <c r="E191" s="6" t="n"/>
      <c r="F191" s="7">
        <f>IF(OR(E191="",D191=""),"",D191*Ajustes!$B$3)</f>
        <v/>
      </c>
      <c r="G191" s="6" t="n"/>
      <c r="H191" s="6" t="n"/>
    </row>
    <row r="192">
      <c r="A192" s="5" t="n"/>
      <c r="B192" s="6" t="n"/>
      <c r="C192" s="6" t="n"/>
      <c r="D192" s="7">
        <f>IF(C192="","",IFERROR(VLOOKUP(C192,Ajustes!$A$6:$B$8,2,FALSE),""))</f>
        <v/>
      </c>
      <c r="E192" s="6" t="n"/>
      <c r="F192" s="7">
        <f>IF(OR(E192="",D192=""),"",D192*Ajustes!$B$3)</f>
        <v/>
      </c>
      <c r="G192" s="6" t="n"/>
      <c r="H192" s="6" t="n"/>
    </row>
    <row r="193">
      <c r="A193" s="5" t="n"/>
      <c r="B193" s="6" t="n"/>
      <c r="C193" s="6" t="n"/>
      <c r="D193" s="7">
        <f>IF(C193="","",IFERROR(VLOOKUP(C193,Ajustes!$A$6:$B$8,2,FALSE),""))</f>
        <v/>
      </c>
      <c r="E193" s="6" t="n"/>
      <c r="F193" s="7">
        <f>IF(OR(E193="",D193=""),"",D193*Ajustes!$B$3)</f>
        <v/>
      </c>
      <c r="G193" s="6" t="n"/>
      <c r="H193" s="6" t="n"/>
    </row>
    <row r="194">
      <c r="A194" s="5" t="n"/>
      <c r="B194" s="6" t="n"/>
      <c r="C194" s="6" t="n"/>
      <c r="D194" s="7">
        <f>IF(C194="","",IFERROR(VLOOKUP(C194,Ajustes!$A$6:$B$8,2,FALSE),""))</f>
        <v/>
      </c>
      <c r="E194" s="6" t="n"/>
      <c r="F194" s="7">
        <f>IF(OR(E194="",D194=""),"",D194*Ajustes!$B$3)</f>
        <v/>
      </c>
      <c r="G194" s="6" t="n"/>
      <c r="H194" s="6" t="n"/>
    </row>
    <row r="195">
      <c r="A195" s="5" t="n"/>
      <c r="B195" s="6" t="n"/>
      <c r="C195" s="6" t="n"/>
      <c r="D195" s="7">
        <f>IF(C195="","",IFERROR(VLOOKUP(C195,Ajustes!$A$6:$B$8,2,FALSE),""))</f>
        <v/>
      </c>
      <c r="E195" s="6" t="n"/>
      <c r="F195" s="7">
        <f>IF(OR(E195="",D195=""),"",D195*Ajustes!$B$3)</f>
        <v/>
      </c>
      <c r="G195" s="6" t="n"/>
      <c r="H195" s="6" t="n"/>
    </row>
    <row r="196">
      <c r="A196" s="5" t="n"/>
      <c r="B196" s="6" t="n"/>
      <c r="C196" s="6" t="n"/>
      <c r="D196" s="7">
        <f>IF(C196="","",IFERROR(VLOOKUP(C196,Ajustes!$A$6:$B$8,2,FALSE),""))</f>
        <v/>
      </c>
      <c r="E196" s="6" t="n"/>
      <c r="F196" s="7">
        <f>IF(OR(E196="",D196=""),"",D196*Ajustes!$B$3)</f>
        <v/>
      </c>
      <c r="G196" s="6" t="n"/>
      <c r="H196" s="6" t="n"/>
    </row>
    <row r="197">
      <c r="A197" s="5" t="n"/>
      <c r="B197" s="6" t="n"/>
      <c r="C197" s="6" t="n"/>
      <c r="D197" s="7">
        <f>IF(C197="","",IFERROR(VLOOKUP(C197,Ajustes!$A$6:$B$8,2,FALSE),""))</f>
        <v/>
      </c>
      <c r="E197" s="6" t="n"/>
      <c r="F197" s="7">
        <f>IF(OR(E197="",D197=""),"",D197*Ajustes!$B$3)</f>
        <v/>
      </c>
      <c r="G197" s="6" t="n"/>
      <c r="H197" s="6" t="n"/>
    </row>
    <row r="198">
      <c r="A198" s="5" t="n"/>
      <c r="B198" s="6" t="n"/>
      <c r="C198" s="6" t="n"/>
      <c r="D198" s="7">
        <f>IF(C198="","",IFERROR(VLOOKUP(C198,Ajustes!$A$6:$B$8,2,FALSE),""))</f>
        <v/>
      </c>
      <c r="E198" s="6" t="n"/>
      <c r="F198" s="7">
        <f>IF(OR(E198="",D198=""),"",D198*Ajustes!$B$3)</f>
        <v/>
      </c>
      <c r="G198" s="6" t="n"/>
      <c r="H198" s="6" t="n"/>
    </row>
    <row r="199">
      <c r="A199" s="5" t="n"/>
      <c r="B199" s="6" t="n"/>
      <c r="C199" s="6" t="n"/>
      <c r="D199" s="7">
        <f>IF(C199="","",IFERROR(VLOOKUP(C199,Ajustes!$A$6:$B$8,2,FALSE),""))</f>
        <v/>
      </c>
      <c r="E199" s="6" t="n"/>
      <c r="F199" s="7">
        <f>IF(OR(E199="",D199=""),"",D199*Ajustes!$B$3)</f>
        <v/>
      </c>
      <c r="G199" s="6" t="n"/>
      <c r="H199" s="6" t="n"/>
    </row>
    <row r="200">
      <c r="A200" s="5" t="n"/>
      <c r="B200" s="6" t="n"/>
      <c r="C200" s="6" t="n"/>
      <c r="D200" s="7">
        <f>IF(C200="","",IFERROR(VLOOKUP(C200,Ajustes!$A$6:$B$8,2,FALSE),""))</f>
        <v/>
      </c>
      <c r="E200" s="6" t="n"/>
      <c r="F200" s="7">
        <f>IF(OR(E200="",D200=""),"",D200*Ajustes!$B$3)</f>
        <v/>
      </c>
      <c r="G200" s="6" t="n"/>
      <c r="H200" s="6" t="n"/>
    </row>
    <row r="201">
      <c r="A201" s="5" t="n"/>
      <c r="B201" s="6" t="n"/>
      <c r="C201" s="6" t="n"/>
      <c r="D201" s="7">
        <f>IF(C201="","",IFERROR(VLOOKUP(C201,Ajustes!$A$6:$B$8,2,FALSE),""))</f>
        <v/>
      </c>
      <c r="E201" s="6" t="n"/>
      <c r="F201" s="7">
        <f>IF(OR(E201="",D201=""),"",D201*Ajustes!$B$3)</f>
        <v/>
      </c>
      <c r="G201" s="6" t="n"/>
      <c r="H201" s="6" t="n"/>
    </row>
    <row r="202">
      <c r="A202" s="5" t="n"/>
      <c r="B202" s="6" t="n"/>
      <c r="C202" s="6" t="n"/>
      <c r="D202" s="7">
        <f>IF(C202="","",IFERROR(VLOOKUP(C202,Ajustes!$A$6:$B$8,2,FALSE),""))</f>
        <v/>
      </c>
      <c r="E202" s="6" t="n"/>
      <c r="F202" s="7">
        <f>IF(OR(E202="",D202=""),"",D202*Ajustes!$B$3)</f>
        <v/>
      </c>
      <c r="G202" s="6" t="n"/>
      <c r="H202" s="6" t="n"/>
    </row>
    <row r="203">
      <c r="A203" s="5" t="n"/>
      <c r="B203" s="6" t="n"/>
      <c r="C203" s="6" t="n"/>
      <c r="D203" s="7">
        <f>IF(C203="","",IFERROR(VLOOKUP(C203,Ajustes!$A$6:$B$8,2,FALSE),""))</f>
        <v/>
      </c>
      <c r="E203" s="6" t="n"/>
      <c r="F203" s="7">
        <f>IF(OR(E203="",D203=""),"",D203*Ajustes!$B$3)</f>
        <v/>
      </c>
      <c r="G203" s="6" t="n"/>
      <c r="H203" s="6" t="n"/>
    </row>
    <row r="204">
      <c r="A204" s="5" t="n"/>
      <c r="B204" s="6" t="n"/>
      <c r="C204" s="6" t="n"/>
      <c r="D204" s="7">
        <f>IF(C204="","",IFERROR(VLOOKUP(C204,Ajustes!$A$6:$B$8,2,FALSE),""))</f>
        <v/>
      </c>
      <c r="E204" s="6" t="n"/>
      <c r="F204" s="7">
        <f>IF(OR(E204="",D204=""),"",D204*Ajustes!$B$3)</f>
        <v/>
      </c>
      <c r="G204" s="6" t="n"/>
      <c r="H204" s="6" t="n"/>
    </row>
    <row r="205">
      <c r="A205" s="5" t="n"/>
      <c r="B205" s="6" t="n"/>
      <c r="C205" s="6" t="n"/>
      <c r="D205" s="7">
        <f>IF(C205="","",IFERROR(VLOOKUP(C205,Ajustes!$A$6:$B$8,2,FALSE),""))</f>
        <v/>
      </c>
      <c r="E205" s="6" t="n"/>
      <c r="F205" s="7">
        <f>IF(OR(E205="",D205=""),"",D205*Ajustes!$B$3)</f>
        <v/>
      </c>
      <c r="G205" s="6" t="n"/>
      <c r="H205" s="6" t="n"/>
    </row>
    <row r="206">
      <c r="A206" s="5" t="n"/>
      <c r="B206" s="6" t="n"/>
      <c r="C206" s="6" t="n"/>
      <c r="D206" s="7">
        <f>IF(C206="","",IFERROR(VLOOKUP(C206,Ajustes!$A$6:$B$8,2,FALSE),""))</f>
        <v/>
      </c>
      <c r="E206" s="6" t="n"/>
      <c r="F206" s="7">
        <f>IF(OR(E206="",D206=""),"",D206*Ajustes!$B$3)</f>
        <v/>
      </c>
      <c r="G206" s="6" t="n"/>
      <c r="H206" s="6" t="n"/>
    </row>
    <row r="207">
      <c r="A207" s="5" t="n"/>
      <c r="B207" s="6" t="n"/>
      <c r="C207" s="6" t="n"/>
      <c r="D207" s="7">
        <f>IF(C207="","",IFERROR(VLOOKUP(C207,Ajustes!$A$6:$B$8,2,FALSE),""))</f>
        <v/>
      </c>
      <c r="E207" s="6" t="n"/>
      <c r="F207" s="7">
        <f>IF(OR(E207="",D207=""),"",D207*Ajustes!$B$3)</f>
        <v/>
      </c>
      <c r="G207" s="6" t="n"/>
      <c r="H207" s="6" t="n"/>
    </row>
    <row r="208">
      <c r="A208" s="5" t="n"/>
      <c r="B208" s="6" t="n"/>
      <c r="C208" s="6" t="n"/>
      <c r="D208" s="7">
        <f>IF(C208="","",IFERROR(VLOOKUP(C208,Ajustes!$A$6:$B$8,2,FALSE),""))</f>
        <v/>
      </c>
      <c r="E208" s="6" t="n"/>
      <c r="F208" s="7">
        <f>IF(OR(E208="",D208=""),"",D208*Ajustes!$B$3)</f>
        <v/>
      </c>
      <c r="G208" s="6" t="n"/>
      <c r="H208" s="6" t="n"/>
    </row>
    <row r="209">
      <c r="A209" s="5" t="n"/>
      <c r="B209" s="6" t="n"/>
      <c r="C209" s="6" t="n"/>
      <c r="D209" s="7">
        <f>IF(C209="","",IFERROR(VLOOKUP(C209,Ajustes!$A$6:$B$8,2,FALSE),""))</f>
        <v/>
      </c>
      <c r="E209" s="6" t="n"/>
      <c r="F209" s="7">
        <f>IF(OR(E209="",D209=""),"",D209*Ajustes!$B$3)</f>
        <v/>
      </c>
      <c r="G209" s="6" t="n"/>
      <c r="H209" s="6" t="n"/>
    </row>
    <row r="210">
      <c r="A210" s="5" t="n"/>
      <c r="B210" s="6" t="n"/>
      <c r="C210" s="6" t="n"/>
      <c r="D210" s="7">
        <f>IF(C210="","",IFERROR(VLOOKUP(C210,Ajustes!$A$6:$B$8,2,FALSE),""))</f>
        <v/>
      </c>
      <c r="E210" s="6" t="n"/>
      <c r="F210" s="7">
        <f>IF(OR(E210="",D210=""),"",D210*Ajustes!$B$3)</f>
        <v/>
      </c>
      <c r="G210" s="6" t="n"/>
      <c r="H210" s="6" t="n"/>
    </row>
    <row r="211">
      <c r="A211" s="5" t="n"/>
      <c r="B211" s="6" t="n"/>
      <c r="C211" s="6" t="n"/>
      <c r="D211" s="7">
        <f>IF(C211="","",IFERROR(VLOOKUP(C211,Ajustes!$A$6:$B$8,2,FALSE),""))</f>
        <v/>
      </c>
      <c r="E211" s="6" t="n"/>
      <c r="F211" s="7">
        <f>IF(OR(E211="",D211=""),"",D211*Ajustes!$B$3)</f>
        <v/>
      </c>
      <c r="G211" s="6" t="n"/>
      <c r="H211" s="6" t="n"/>
    </row>
    <row r="212">
      <c r="A212" s="5" t="n"/>
      <c r="B212" s="6" t="n"/>
      <c r="C212" s="6" t="n"/>
      <c r="D212" s="7">
        <f>IF(C212="","",IFERROR(VLOOKUP(C212,Ajustes!$A$6:$B$8,2,FALSE),""))</f>
        <v/>
      </c>
      <c r="E212" s="6" t="n"/>
      <c r="F212" s="7">
        <f>IF(OR(E212="",D212=""),"",D212*Ajustes!$B$3)</f>
        <v/>
      </c>
      <c r="G212" s="6" t="n"/>
      <c r="H212" s="6" t="n"/>
    </row>
    <row r="213">
      <c r="A213" s="5" t="n"/>
      <c r="B213" s="6" t="n"/>
      <c r="C213" s="6" t="n"/>
      <c r="D213" s="7">
        <f>IF(C213="","",IFERROR(VLOOKUP(C213,Ajustes!$A$6:$B$8,2,FALSE),""))</f>
        <v/>
      </c>
      <c r="E213" s="6" t="n"/>
      <c r="F213" s="7">
        <f>IF(OR(E213="",D213=""),"",D213*Ajustes!$B$3)</f>
        <v/>
      </c>
      <c r="G213" s="6" t="n"/>
      <c r="H213" s="6" t="n"/>
    </row>
    <row r="214">
      <c r="A214" s="5" t="n"/>
      <c r="B214" s="6" t="n"/>
      <c r="C214" s="6" t="n"/>
      <c r="D214" s="7">
        <f>IF(C214="","",IFERROR(VLOOKUP(C214,Ajustes!$A$6:$B$8,2,FALSE),""))</f>
        <v/>
      </c>
      <c r="E214" s="6" t="n"/>
      <c r="F214" s="7">
        <f>IF(OR(E214="",D214=""),"",D214*Ajustes!$B$3)</f>
        <v/>
      </c>
      <c r="G214" s="6" t="n"/>
      <c r="H214" s="6" t="n"/>
    </row>
    <row r="215">
      <c r="A215" s="5" t="n"/>
      <c r="B215" s="6" t="n"/>
      <c r="C215" s="6" t="n"/>
      <c r="D215" s="7">
        <f>IF(C215="","",IFERROR(VLOOKUP(C215,Ajustes!$A$6:$B$8,2,FALSE),""))</f>
        <v/>
      </c>
      <c r="E215" s="6" t="n"/>
      <c r="F215" s="7">
        <f>IF(OR(E215="",D215=""),"",D215*Ajustes!$B$3)</f>
        <v/>
      </c>
      <c r="G215" s="6" t="n"/>
      <c r="H215" s="6" t="n"/>
    </row>
    <row r="216">
      <c r="A216" s="5" t="n"/>
      <c r="B216" s="6" t="n"/>
      <c r="C216" s="6" t="n"/>
      <c r="D216" s="7">
        <f>IF(C216="","",IFERROR(VLOOKUP(C216,Ajustes!$A$6:$B$8,2,FALSE),""))</f>
        <v/>
      </c>
      <c r="E216" s="6" t="n"/>
      <c r="F216" s="7">
        <f>IF(OR(E216="",D216=""),"",D216*Ajustes!$B$3)</f>
        <v/>
      </c>
      <c r="G216" s="6" t="n"/>
      <c r="H216" s="6" t="n"/>
    </row>
    <row r="217">
      <c r="A217" s="5" t="n"/>
      <c r="B217" s="6" t="n"/>
      <c r="C217" s="6" t="n"/>
      <c r="D217" s="7">
        <f>IF(C217="","",IFERROR(VLOOKUP(C217,Ajustes!$A$6:$B$8,2,FALSE),""))</f>
        <v/>
      </c>
      <c r="E217" s="6" t="n"/>
      <c r="F217" s="7">
        <f>IF(OR(E217="",D217=""),"",D217*Ajustes!$B$3)</f>
        <v/>
      </c>
      <c r="G217" s="6" t="n"/>
      <c r="H217" s="6" t="n"/>
    </row>
    <row r="218">
      <c r="A218" s="5" t="n"/>
      <c r="B218" s="6" t="n"/>
      <c r="C218" s="6" t="n"/>
      <c r="D218" s="7">
        <f>IF(C218="","",IFERROR(VLOOKUP(C218,Ajustes!$A$6:$B$8,2,FALSE),""))</f>
        <v/>
      </c>
      <c r="E218" s="6" t="n"/>
      <c r="F218" s="7">
        <f>IF(OR(E218="",D218=""),"",D218*Ajustes!$B$3)</f>
        <v/>
      </c>
      <c r="G218" s="6" t="n"/>
      <c r="H218" s="6" t="n"/>
    </row>
    <row r="219">
      <c r="A219" s="5" t="n"/>
      <c r="B219" s="6" t="n"/>
      <c r="C219" s="6" t="n"/>
      <c r="D219" s="7">
        <f>IF(C219="","",IFERROR(VLOOKUP(C219,Ajustes!$A$6:$B$8,2,FALSE),""))</f>
        <v/>
      </c>
      <c r="E219" s="6" t="n"/>
      <c r="F219" s="7">
        <f>IF(OR(E219="",D219=""),"",D219*Ajustes!$B$3)</f>
        <v/>
      </c>
      <c r="G219" s="6" t="n"/>
      <c r="H219" s="6" t="n"/>
    </row>
    <row r="220">
      <c r="A220" s="5" t="n"/>
      <c r="B220" s="6" t="n"/>
      <c r="C220" s="6" t="n"/>
      <c r="D220" s="7">
        <f>IF(C220="","",IFERROR(VLOOKUP(C220,Ajustes!$A$6:$B$8,2,FALSE),""))</f>
        <v/>
      </c>
      <c r="E220" s="6" t="n"/>
      <c r="F220" s="7">
        <f>IF(OR(E220="",D220=""),"",D220*Ajustes!$B$3)</f>
        <v/>
      </c>
      <c r="G220" s="6" t="n"/>
      <c r="H220" s="6" t="n"/>
    </row>
    <row r="221">
      <c r="A221" s="5" t="n"/>
      <c r="B221" s="6" t="n"/>
      <c r="C221" s="6" t="n"/>
      <c r="D221" s="7">
        <f>IF(C221="","",IFERROR(VLOOKUP(C221,Ajustes!$A$6:$B$8,2,FALSE),""))</f>
        <v/>
      </c>
      <c r="E221" s="6" t="n"/>
      <c r="F221" s="7">
        <f>IF(OR(E221="",D221=""),"",D221*Ajustes!$B$3)</f>
        <v/>
      </c>
      <c r="G221" s="6" t="n"/>
      <c r="H221" s="6" t="n"/>
    </row>
    <row r="222">
      <c r="A222" s="5" t="n"/>
      <c r="B222" s="6" t="n"/>
      <c r="C222" s="6" t="n"/>
      <c r="D222" s="7">
        <f>IF(C222="","",IFERROR(VLOOKUP(C222,Ajustes!$A$6:$B$8,2,FALSE),""))</f>
        <v/>
      </c>
      <c r="E222" s="6" t="n"/>
      <c r="F222" s="7">
        <f>IF(OR(E222="",D222=""),"",D222*Ajustes!$B$3)</f>
        <v/>
      </c>
      <c r="G222" s="6" t="n"/>
      <c r="H222" s="6" t="n"/>
    </row>
    <row r="223">
      <c r="A223" s="5" t="n"/>
      <c r="B223" s="6" t="n"/>
      <c r="C223" s="6" t="n"/>
      <c r="D223" s="7">
        <f>IF(C223="","",IFERROR(VLOOKUP(C223,Ajustes!$A$6:$B$8,2,FALSE),""))</f>
        <v/>
      </c>
      <c r="E223" s="6" t="n"/>
      <c r="F223" s="7">
        <f>IF(OR(E223="",D223=""),"",D223*Ajustes!$B$3)</f>
        <v/>
      </c>
      <c r="G223" s="6" t="n"/>
      <c r="H223" s="6" t="n"/>
    </row>
    <row r="224">
      <c r="A224" s="5" t="n"/>
      <c r="B224" s="6" t="n"/>
      <c r="C224" s="6" t="n"/>
      <c r="D224" s="7">
        <f>IF(C224="","",IFERROR(VLOOKUP(C224,Ajustes!$A$6:$B$8,2,FALSE),""))</f>
        <v/>
      </c>
      <c r="E224" s="6" t="n"/>
      <c r="F224" s="7">
        <f>IF(OR(E224="",D224=""),"",D224*Ajustes!$B$3)</f>
        <v/>
      </c>
      <c r="G224" s="6" t="n"/>
      <c r="H224" s="6" t="n"/>
    </row>
    <row r="225">
      <c r="A225" s="5" t="n"/>
      <c r="B225" s="6" t="n"/>
      <c r="C225" s="6" t="n"/>
      <c r="D225" s="7">
        <f>IF(C225="","",IFERROR(VLOOKUP(C225,Ajustes!$A$6:$B$8,2,FALSE),""))</f>
        <v/>
      </c>
      <c r="E225" s="6" t="n"/>
      <c r="F225" s="7">
        <f>IF(OR(E225="",D225=""),"",D225*Ajustes!$B$3)</f>
        <v/>
      </c>
      <c r="G225" s="6" t="n"/>
      <c r="H225" s="6" t="n"/>
    </row>
    <row r="226">
      <c r="A226" s="5" t="n"/>
      <c r="B226" s="6" t="n"/>
      <c r="C226" s="6" t="n"/>
      <c r="D226" s="7">
        <f>IF(C226="","",IFERROR(VLOOKUP(C226,Ajustes!$A$6:$B$8,2,FALSE),""))</f>
        <v/>
      </c>
      <c r="E226" s="6" t="n"/>
      <c r="F226" s="7">
        <f>IF(OR(E226="",D226=""),"",D226*Ajustes!$B$3)</f>
        <v/>
      </c>
      <c r="G226" s="6" t="n"/>
      <c r="H226" s="6" t="n"/>
    </row>
    <row r="227">
      <c r="A227" s="5" t="n"/>
      <c r="B227" s="6" t="n"/>
      <c r="C227" s="6" t="n"/>
      <c r="D227" s="7">
        <f>IF(C227="","",IFERROR(VLOOKUP(C227,Ajustes!$A$6:$B$8,2,FALSE),""))</f>
        <v/>
      </c>
      <c r="E227" s="6" t="n"/>
      <c r="F227" s="7">
        <f>IF(OR(E227="",D227=""),"",D227*Ajustes!$B$3)</f>
        <v/>
      </c>
      <c r="G227" s="6" t="n"/>
      <c r="H227" s="6" t="n"/>
    </row>
    <row r="228">
      <c r="A228" s="5" t="n"/>
      <c r="B228" s="6" t="n"/>
      <c r="C228" s="6" t="n"/>
      <c r="D228" s="7">
        <f>IF(C228="","",IFERROR(VLOOKUP(C228,Ajustes!$A$6:$B$8,2,FALSE),""))</f>
        <v/>
      </c>
      <c r="E228" s="6" t="n"/>
      <c r="F228" s="7">
        <f>IF(OR(E228="",D228=""),"",D228*Ajustes!$B$3)</f>
        <v/>
      </c>
      <c r="G228" s="6" t="n"/>
      <c r="H228" s="6" t="n"/>
    </row>
    <row r="229">
      <c r="A229" s="5" t="n"/>
      <c r="B229" s="6" t="n"/>
      <c r="C229" s="6" t="n"/>
      <c r="D229" s="7">
        <f>IF(C229="","",IFERROR(VLOOKUP(C229,Ajustes!$A$6:$B$8,2,FALSE),""))</f>
        <v/>
      </c>
      <c r="E229" s="6" t="n"/>
      <c r="F229" s="7">
        <f>IF(OR(E229="",D229=""),"",D229*Ajustes!$B$3)</f>
        <v/>
      </c>
      <c r="G229" s="6" t="n"/>
      <c r="H229" s="6" t="n"/>
    </row>
    <row r="230">
      <c r="A230" s="5" t="n"/>
      <c r="B230" s="6" t="n"/>
      <c r="C230" s="6" t="n"/>
      <c r="D230" s="7">
        <f>IF(C230="","",IFERROR(VLOOKUP(C230,Ajustes!$A$6:$B$8,2,FALSE),""))</f>
        <v/>
      </c>
      <c r="E230" s="6" t="n"/>
      <c r="F230" s="7">
        <f>IF(OR(E230="",D230=""),"",D230*Ajustes!$B$3)</f>
        <v/>
      </c>
      <c r="G230" s="6" t="n"/>
      <c r="H230" s="6" t="n"/>
    </row>
    <row r="231">
      <c r="A231" s="5" t="n"/>
      <c r="B231" s="6" t="n"/>
      <c r="C231" s="6" t="n"/>
      <c r="D231" s="7">
        <f>IF(C231="","",IFERROR(VLOOKUP(C231,Ajustes!$A$6:$B$8,2,FALSE),""))</f>
        <v/>
      </c>
      <c r="E231" s="6" t="n"/>
      <c r="F231" s="7">
        <f>IF(OR(E231="",D231=""),"",D231*Ajustes!$B$3)</f>
        <v/>
      </c>
      <c r="G231" s="6" t="n"/>
      <c r="H231" s="6" t="n"/>
    </row>
    <row r="232">
      <c r="A232" s="5" t="n"/>
      <c r="B232" s="6" t="n"/>
      <c r="C232" s="6" t="n"/>
      <c r="D232" s="7">
        <f>IF(C232="","",IFERROR(VLOOKUP(C232,Ajustes!$A$6:$B$8,2,FALSE),""))</f>
        <v/>
      </c>
      <c r="E232" s="6" t="n"/>
      <c r="F232" s="7">
        <f>IF(OR(E232="",D232=""),"",D232*Ajustes!$B$3)</f>
        <v/>
      </c>
      <c r="G232" s="6" t="n"/>
      <c r="H232" s="6" t="n"/>
    </row>
    <row r="233">
      <c r="A233" s="5" t="n"/>
      <c r="B233" s="6" t="n"/>
      <c r="C233" s="6" t="n"/>
      <c r="D233" s="7">
        <f>IF(C233="","",IFERROR(VLOOKUP(C233,Ajustes!$A$6:$B$8,2,FALSE),""))</f>
        <v/>
      </c>
      <c r="E233" s="6" t="n"/>
      <c r="F233" s="7">
        <f>IF(OR(E233="",D233=""),"",D233*Ajustes!$B$3)</f>
        <v/>
      </c>
      <c r="G233" s="6" t="n"/>
      <c r="H233" s="6" t="n"/>
    </row>
    <row r="234">
      <c r="A234" s="5" t="n"/>
      <c r="B234" s="6" t="n"/>
      <c r="C234" s="6" t="n"/>
      <c r="D234" s="7">
        <f>IF(C234="","",IFERROR(VLOOKUP(C234,Ajustes!$A$6:$B$8,2,FALSE),""))</f>
        <v/>
      </c>
      <c r="E234" s="6" t="n"/>
      <c r="F234" s="7">
        <f>IF(OR(E234="",D234=""),"",D234*Ajustes!$B$3)</f>
        <v/>
      </c>
      <c r="G234" s="6" t="n"/>
      <c r="H234" s="6" t="n"/>
    </row>
    <row r="235">
      <c r="A235" s="5" t="n"/>
      <c r="B235" s="6" t="n"/>
      <c r="C235" s="6" t="n"/>
      <c r="D235" s="7">
        <f>IF(C235="","",IFERROR(VLOOKUP(C235,Ajustes!$A$6:$B$8,2,FALSE),""))</f>
        <v/>
      </c>
      <c r="E235" s="6" t="n"/>
      <c r="F235" s="7">
        <f>IF(OR(E235="",D235=""),"",D235*Ajustes!$B$3)</f>
        <v/>
      </c>
      <c r="G235" s="6" t="n"/>
      <c r="H235" s="6" t="n"/>
    </row>
    <row r="236">
      <c r="A236" s="5" t="n"/>
      <c r="B236" s="6" t="n"/>
      <c r="C236" s="6" t="n"/>
      <c r="D236" s="7">
        <f>IF(C236="","",IFERROR(VLOOKUP(C236,Ajustes!$A$6:$B$8,2,FALSE),""))</f>
        <v/>
      </c>
      <c r="E236" s="6" t="n"/>
      <c r="F236" s="7">
        <f>IF(OR(E236="",D236=""),"",D236*Ajustes!$B$3)</f>
        <v/>
      </c>
      <c r="G236" s="6" t="n"/>
      <c r="H236" s="6" t="n"/>
    </row>
    <row r="237">
      <c r="A237" s="5" t="n"/>
      <c r="B237" s="6" t="n"/>
      <c r="C237" s="6" t="n"/>
      <c r="D237" s="7">
        <f>IF(C237="","",IFERROR(VLOOKUP(C237,Ajustes!$A$6:$B$8,2,FALSE),""))</f>
        <v/>
      </c>
      <c r="E237" s="6" t="n"/>
      <c r="F237" s="7">
        <f>IF(OR(E237="",D237=""),"",D237*Ajustes!$B$3)</f>
        <v/>
      </c>
      <c r="G237" s="6" t="n"/>
      <c r="H237" s="6" t="n"/>
    </row>
    <row r="238">
      <c r="A238" s="5" t="n"/>
      <c r="B238" s="6" t="n"/>
      <c r="C238" s="6" t="n"/>
      <c r="D238" s="7">
        <f>IF(C238="","",IFERROR(VLOOKUP(C238,Ajustes!$A$6:$B$8,2,FALSE),""))</f>
        <v/>
      </c>
      <c r="E238" s="6" t="n"/>
      <c r="F238" s="7">
        <f>IF(OR(E238="",D238=""),"",D238*Ajustes!$B$3)</f>
        <v/>
      </c>
      <c r="G238" s="6" t="n"/>
      <c r="H238" s="6" t="n"/>
    </row>
    <row r="239">
      <c r="A239" s="5" t="n"/>
      <c r="B239" s="6" t="n"/>
      <c r="C239" s="6" t="n"/>
      <c r="D239" s="7">
        <f>IF(C239="","",IFERROR(VLOOKUP(C239,Ajustes!$A$6:$B$8,2,FALSE),""))</f>
        <v/>
      </c>
      <c r="E239" s="6" t="n"/>
      <c r="F239" s="7">
        <f>IF(OR(E239="",D239=""),"",D239*Ajustes!$B$3)</f>
        <v/>
      </c>
      <c r="G239" s="6" t="n"/>
      <c r="H239" s="6" t="n"/>
    </row>
    <row r="240">
      <c r="A240" s="5" t="n"/>
      <c r="B240" s="6" t="n"/>
      <c r="C240" s="6" t="n"/>
      <c r="D240" s="7">
        <f>IF(C240="","",IFERROR(VLOOKUP(C240,Ajustes!$A$6:$B$8,2,FALSE),""))</f>
        <v/>
      </c>
      <c r="E240" s="6" t="n"/>
      <c r="F240" s="7">
        <f>IF(OR(E240="",D240=""),"",D240*Ajustes!$B$3)</f>
        <v/>
      </c>
      <c r="G240" s="6" t="n"/>
      <c r="H240" s="6" t="n"/>
    </row>
    <row r="241">
      <c r="A241" s="5" t="n"/>
      <c r="B241" s="6" t="n"/>
      <c r="C241" s="6" t="n"/>
      <c r="D241" s="7">
        <f>IF(C241="","",IFERROR(VLOOKUP(C241,Ajustes!$A$6:$B$8,2,FALSE),""))</f>
        <v/>
      </c>
      <c r="E241" s="6" t="n"/>
      <c r="F241" s="7">
        <f>IF(OR(E241="",D241=""),"",D241*Ajustes!$B$3)</f>
        <v/>
      </c>
      <c r="G241" s="6" t="n"/>
      <c r="H241" s="6" t="n"/>
    </row>
    <row r="242">
      <c r="A242" s="5" t="n"/>
      <c r="B242" s="6" t="n"/>
      <c r="C242" s="6" t="n"/>
      <c r="D242" s="7">
        <f>IF(C242="","",IFERROR(VLOOKUP(C242,Ajustes!$A$6:$B$8,2,FALSE),""))</f>
        <v/>
      </c>
      <c r="E242" s="6" t="n"/>
      <c r="F242" s="7">
        <f>IF(OR(E242="",D242=""),"",D242*Ajustes!$B$3)</f>
        <v/>
      </c>
      <c r="G242" s="6" t="n"/>
      <c r="H242" s="6" t="n"/>
    </row>
    <row r="243">
      <c r="A243" s="5" t="n"/>
      <c r="B243" s="6" t="n"/>
      <c r="C243" s="6" t="n"/>
      <c r="D243" s="7">
        <f>IF(C243="","",IFERROR(VLOOKUP(C243,Ajustes!$A$6:$B$8,2,FALSE),""))</f>
        <v/>
      </c>
      <c r="E243" s="6" t="n"/>
      <c r="F243" s="7">
        <f>IF(OR(E243="",D243=""),"",D243*Ajustes!$B$3)</f>
        <v/>
      </c>
      <c r="G243" s="6" t="n"/>
      <c r="H243" s="6" t="n"/>
    </row>
    <row r="244">
      <c r="A244" s="5" t="n"/>
      <c r="B244" s="6" t="n"/>
      <c r="C244" s="6" t="n"/>
      <c r="D244" s="7">
        <f>IF(C244="","",IFERROR(VLOOKUP(C244,Ajustes!$A$6:$B$8,2,FALSE),""))</f>
        <v/>
      </c>
      <c r="E244" s="6" t="n"/>
      <c r="F244" s="7">
        <f>IF(OR(E244="",D244=""),"",D244*Ajustes!$B$3)</f>
        <v/>
      </c>
      <c r="G244" s="6" t="n"/>
      <c r="H244" s="6" t="n"/>
    </row>
    <row r="245">
      <c r="A245" s="5" t="n"/>
      <c r="B245" s="6" t="n"/>
      <c r="C245" s="6" t="n"/>
      <c r="D245" s="7">
        <f>IF(C245="","",IFERROR(VLOOKUP(C245,Ajustes!$A$6:$B$8,2,FALSE),""))</f>
        <v/>
      </c>
      <c r="E245" s="6" t="n"/>
      <c r="F245" s="7">
        <f>IF(OR(E245="",D245=""),"",D245*Ajustes!$B$3)</f>
        <v/>
      </c>
      <c r="G245" s="6" t="n"/>
      <c r="H245" s="6" t="n"/>
    </row>
    <row r="246">
      <c r="A246" s="5" t="n"/>
      <c r="B246" s="6" t="n"/>
      <c r="C246" s="6" t="n"/>
      <c r="D246" s="7">
        <f>IF(C246="","",IFERROR(VLOOKUP(C246,Ajustes!$A$6:$B$8,2,FALSE),""))</f>
        <v/>
      </c>
      <c r="E246" s="6" t="n"/>
      <c r="F246" s="7">
        <f>IF(OR(E246="",D246=""),"",D246*Ajustes!$B$3)</f>
        <v/>
      </c>
      <c r="G246" s="6" t="n"/>
      <c r="H246" s="6" t="n"/>
    </row>
    <row r="247">
      <c r="A247" s="5" t="n"/>
      <c r="B247" s="6" t="n"/>
      <c r="C247" s="6" t="n"/>
      <c r="D247" s="7">
        <f>IF(C247="","",IFERROR(VLOOKUP(C247,Ajustes!$A$6:$B$8,2,FALSE),""))</f>
        <v/>
      </c>
      <c r="E247" s="6" t="n"/>
      <c r="F247" s="7">
        <f>IF(OR(E247="",D247=""),"",D247*Ajustes!$B$3)</f>
        <v/>
      </c>
      <c r="G247" s="6" t="n"/>
      <c r="H247" s="6" t="n"/>
    </row>
    <row r="248">
      <c r="A248" s="5" t="n"/>
      <c r="B248" s="6" t="n"/>
      <c r="C248" s="6" t="n"/>
      <c r="D248" s="7">
        <f>IF(C248="","",IFERROR(VLOOKUP(C248,Ajustes!$A$6:$B$8,2,FALSE),""))</f>
        <v/>
      </c>
      <c r="E248" s="6" t="n"/>
      <c r="F248" s="7">
        <f>IF(OR(E248="",D248=""),"",D248*Ajustes!$B$3)</f>
        <v/>
      </c>
      <c r="G248" s="6" t="n"/>
      <c r="H248" s="6" t="n"/>
    </row>
    <row r="249">
      <c r="A249" s="5" t="n"/>
      <c r="B249" s="6" t="n"/>
      <c r="C249" s="6" t="n"/>
      <c r="D249" s="7">
        <f>IF(C249="","",IFERROR(VLOOKUP(C249,Ajustes!$A$6:$B$8,2,FALSE),""))</f>
        <v/>
      </c>
      <c r="E249" s="6" t="n"/>
      <c r="F249" s="7">
        <f>IF(OR(E249="",D249=""),"",D249*Ajustes!$B$3)</f>
        <v/>
      </c>
      <c r="G249" s="6" t="n"/>
      <c r="H249" s="6" t="n"/>
    </row>
    <row r="250">
      <c r="A250" s="5" t="n"/>
      <c r="B250" s="6" t="n"/>
      <c r="C250" s="6" t="n"/>
      <c r="D250" s="7">
        <f>IF(C250="","",IFERROR(VLOOKUP(C250,Ajustes!$A$6:$B$8,2,FALSE),""))</f>
        <v/>
      </c>
      <c r="E250" s="6" t="n"/>
      <c r="F250" s="7">
        <f>IF(OR(E250="",D250=""),"",D250*Ajustes!$B$3)</f>
        <v/>
      </c>
      <c r="G250" s="6" t="n"/>
      <c r="H250" s="6" t="n"/>
    </row>
    <row r="251">
      <c r="A251" s="5" t="n"/>
      <c r="B251" s="6" t="n"/>
      <c r="C251" s="6" t="n"/>
      <c r="D251" s="7">
        <f>IF(C251="","",IFERROR(VLOOKUP(C251,Ajustes!$A$6:$B$8,2,FALSE),""))</f>
        <v/>
      </c>
      <c r="E251" s="6" t="n"/>
      <c r="F251" s="7">
        <f>IF(OR(E251="",D251=""),"",D251*Ajustes!$B$3)</f>
        <v/>
      </c>
      <c r="G251" s="6" t="n"/>
      <c r="H251" s="6" t="n"/>
    </row>
  </sheetData>
  <dataValidations count="2">
    <dataValidation sqref="C2:C251" showDropDown="0" showInputMessage="0" showErrorMessage="0" allowBlank="1" type="list">
      <formula1>"3 meses,Anual,Para siempre"</formula1>
    </dataValidation>
    <dataValidation sqref="G2:G25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34" customHeight="1">
      <c r="A1" s="4" t="inlineStr">
        <is>
          <t>Vendedor (como figura en su link)</t>
        </is>
      </c>
      <c r="B1" s="4" t="inlineStr">
        <is>
          <t>Alias o CVU de Mercado Pago</t>
        </is>
      </c>
      <c r="C1" s="4" t="inlineStr">
        <is>
          <t>WhatsApp</t>
        </is>
      </c>
      <c r="D1" s="4" t="inlineStr">
        <is>
          <t>Ventas</t>
        </is>
      </c>
      <c r="E1" s="4" t="inlineStr">
        <is>
          <t>Total vendido ($)</t>
        </is>
      </c>
      <c r="F1" s="4" t="inlineStr">
        <is>
          <t>Comisión total ($)</t>
        </is>
      </c>
      <c r="G1" s="4" t="inlineStr">
        <is>
          <t>Ya pagado ($)</t>
        </is>
      </c>
      <c r="H1" s="4" t="inlineStr">
        <is>
          <t>A pagar ($)</t>
        </is>
      </c>
    </row>
    <row r="2">
      <c r="A2" s="6" t="inlineStr">
        <is>
          <t>juan-perez</t>
        </is>
      </c>
      <c r="B2" s="6" t="inlineStr">
        <is>
          <t>juan.perez.mp (ejemplo)</t>
        </is>
      </c>
      <c r="C2" s="6" t="inlineStr">
        <is>
          <t>'11 0000-0000</t>
        </is>
      </c>
      <c r="D2" s="6">
        <f>IF(A2="","",COUNTIF(Ventas!$E$2:$E,A2))</f>
        <v/>
      </c>
      <c r="E2" s="7">
        <f>IF(A2="","",SUMIF(Ventas!$E$2:$E,A2,Ventas!$D$2:$D))</f>
        <v/>
      </c>
      <c r="F2" s="7">
        <f>IF(A2="","",SUMIF(Ventas!$E$2:$E,A2,Ventas!$F$2:$F))</f>
        <v/>
      </c>
      <c r="G2" s="7">
        <f>IF(A2="","",SUMIFS(Ventas!$F$2:$F,Ventas!$E$2:$E,A2,Ventas!$G$2:$G,"Sí"))</f>
        <v/>
      </c>
      <c r="H2" s="9">
        <f>IF(A2="","",F2-G2)</f>
        <v/>
      </c>
    </row>
    <row r="3">
      <c r="A3" s="6" t="n"/>
      <c r="B3" s="6" t="n"/>
      <c r="C3" s="6" t="n"/>
      <c r="D3" s="6">
        <f>IF(A3="","",COUNTIF(Ventas!$E$2:$E,A3))</f>
        <v/>
      </c>
      <c r="E3" s="7">
        <f>IF(A3="","",SUMIF(Ventas!$E$2:$E,A3,Ventas!$D$2:$D))</f>
        <v/>
      </c>
      <c r="F3" s="7">
        <f>IF(A3="","",SUMIF(Ventas!$E$2:$E,A3,Ventas!$F$2:$F))</f>
        <v/>
      </c>
      <c r="G3" s="7">
        <f>IF(A3="","",SUMIFS(Ventas!$F$2:$F,Ventas!$E$2:$E,A3,Ventas!$G$2:$G,"Sí"))</f>
        <v/>
      </c>
      <c r="H3" s="7">
        <f>IF(A3="","",F3-G3)</f>
        <v/>
      </c>
    </row>
    <row r="4">
      <c r="A4" s="6" t="n"/>
      <c r="B4" s="6" t="n"/>
      <c r="C4" s="6" t="n"/>
      <c r="D4" s="6">
        <f>IF(A4="","",COUNTIF(Ventas!$E$2:$E,A4))</f>
        <v/>
      </c>
      <c r="E4" s="7">
        <f>IF(A4="","",SUMIF(Ventas!$E$2:$E,A4,Ventas!$D$2:$D))</f>
        <v/>
      </c>
      <c r="F4" s="7">
        <f>IF(A4="","",SUMIF(Ventas!$E$2:$E,A4,Ventas!$F$2:$F))</f>
        <v/>
      </c>
      <c r="G4" s="7">
        <f>IF(A4="","",SUMIFS(Ventas!$F$2:$F,Ventas!$E$2:$E,A4,Ventas!$G$2:$G,"Sí"))</f>
        <v/>
      </c>
      <c r="H4" s="7">
        <f>IF(A4="","",F4-G4)</f>
        <v/>
      </c>
    </row>
    <row r="5">
      <c r="A5" s="6" t="n"/>
      <c r="B5" s="6" t="n"/>
      <c r="C5" s="6" t="n"/>
      <c r="D5" s="6">
        <f>IF(A5="","",COUNTIF(Ventas!$E$2:$E,A5))</f>
        <v/>
      </c>
      <c r="E5" s="7">
        <f>IF(A5="","",SUMIF(Ventas!$E$2:$E,A5,Ventas!$D$2:$D))</f>
        <v/>
      </c>
      <c r="F5" s="7">
        <f>IF(A5="","",SUMIF(Ventas!$E$2:$E,A5,Ventas!$F$2:$F))</f>
        <v/>
      </c>
      <c r="G5" s="7">
        <f>IF(A5="","",SUMIFS(Ventas!$F$2:$F,Ventas!$E$2:$E,A5,Ventas!$G$2:$G,"Sí"))</f>
        <v/>
      </c>
      <c r="H5" s="7">
        <f>IF(A5="","",F5-G5)</f>
        <v/>
      </c>
    </row>
    <row r="6">
      <c r="A6" s="6" t="n"/>
      <c r="B6" s="6" t="n"/>
      <c r="C6" s="6" t="n"/>
      <c r="D6" s="6">
        <f>IF(A6="","",COUNTIF(Ventas!$E$2:$E,A6))</f>
        <v/>
      </c>
      <c r="E6" s="7">
        <f>IF(A6="","",SUMIF(Ventas!$E$2:$E,A6,Ventas!$D$2:$D))</f>
        <v/>
      </c>
      <c r="F6" s="7">
        <f>IF(A6="","",SUMIF(Ventas!$E$2:$E,A6,Ventas!$F$2:$F))</f>
        <v/>
      </c>
      <c r="G6" s="7">
        <f>IF(A6="","",SUMIFS(Ventas!$F$2:$F,Ventas!$E$2:$E,A6,Ventas!$G$2:$G,"Sí"))</f>
        <v/>
      </c>
      <c r="H6" s="7">
        <f>IF(A6="","",F6-G6)</f>
        <v/>
      </c>
    </row>
    <row r="7">
      <c r="A7" s="6" t="n"/>
      <c r="B7" s="6" t="n"/>
      <c r="C7" s="6" t="n"/>
      <c r="D7" s="6">
        <f>IF(A7="","",COUNTIF(Ventas!$E$2:$E,A7))</f>
        <v/>
      </c>
      <c r="E7" s="7">
        <f>IF(A7="","",SUMIF(Ventas!$E$2:$E,A7,Ventas!$D$2:$D))</f>
        <v/>
      </c>
      <c r="F7" s="7">
        <f>IF(A7="","",SUMIF(Ventas!$E$2:$E,A7,Ventas!$F$2:$F))</f>
        <v/>
      </c>
      <c r="G7" s="7">
        <f>IF(A7="","",SUMIFS(Ventas!$F$2:$F,Ventas!$E$2:$E,A7,Ventas!$G$2:$G,"Sí"))</f>
        <v/>
      </c>
      <c r="H7" s="7">
        <f>IF(A7="","",F7-G7)</f>
        <v/>
      </c>
    </row>
    <row r="8">
      <c r="A8" s="6" t="n"/>
      <c r="B8" s="6" t="n"/>
      <c r="C8" s="6" t="n"/>
      <c r="D8" s="6">
        <f>IF(A8="","",COUNTIF(Ventas!$E$2:$E,A8))</f>
        <v/>
      </c>
      <c r="E8" s="7">
        <f>IF(A8="","",SUMIF(Ventas!$E$2:$E,A8,Ventas!$D$2:$D))</f>
        <v/>
      </c>
      <c r="F8" s="7">
        <f>IF(A8="","",SUMIF(Ventas!$E$2:$E,A8,Ventas!$F$2:$F))</f>
        <v/>
      </c>
      <c r="G8" s="7">
        <f>IF(A8="","",SUMIFS(Ventas!$F$2:$F,Ventas!$E$2:$E,A8,Ventas!$G$2:$G,"Sí"))</f>
        <v/>
      </c>
      <c r="H8" s="7">
        <f>IF(A8="","",F8-G8)</f>
        <v/>
      </c>
    </row>
    <row r="9">
      <c r="A9" s="6" t="n"/>
      <c r="B9" s="6" t="n"/>
      <c r="C9" s="6" t="n"/>
      <c r="D9" s="6">
        <f>IF(A9="","",COUNTIF(Ventas!$E$2:$E,A9))</f>
        <v/>
      </c>
      <c r="E9" s="7">
        <f>IF(A9="","",SUMIF(Ventas!$E$2:$E,A9,Ventas!$D$2:$D))</f>
        <v/>
      </c>
      <c r="F9" s="7">
        <f>IF(A9="","",SUMIF(Ventas!$E$2:$E,A9,Ventas!$F$2:$F))</f>
        <v/>
      </c>
      <c r="G9" s="7">
        <f>IF(A9="","",SUMIFS(Ventas!$F$2:$F,Ventas!$E$2:$E,A9,Ventas!$G$2:$G,"Sí"))</f>
        <v/>
      </c>
      <c r="H9" s="7">
        <f>IF(A9="","",F9-G9)</f>
        <v/>
      </c>
    </row>
    <row r="10">
      <c r="A10" s="6" t="n"/>
      <c r="B10" s="6" t="n"/>
      <c r="C10" s="6" t="n"/>
      <c r="D10" s="6">
        <f>IF(A10="","",COUNTIF(Ventas!$E$2:$E,A10))</f>
        <v/>
      </c>
      <c r="E10" s="7">
        <f>IF(A10="","",SUMIF(Ventas!$E$2:$E,A10,Ventas!$D$2:$D))</f>
        <v/>
      </c>
      <c r="F10" s="7">
        <f>IF(A10="","",SUMIF(Ventas!$E$2:$E,A10,Ventas!$F$2:$F))</f>
        <v/>
      </c>
      <c r="G10" s="7">
        <f>IF(A10="","",SUMIFS(Ventas!$F$2:$F,Ventas!$E$2:$E,A10,Ventas!$G$2:$G,"Sí"))</f>
        <v/>
      </c>
      <c r="H10" s="7">
        <f>IF(A10="","",F10-G10)</f>
        <v/>
      </c>
    </row>
    <row r="11">
      <c r="A11" s="6" t="n"/>
      <c r="B11" s="6" t="n"/>
      <c r="C11" s="6" t="n"/>
      <c r="D11" s="6">
        <f>IF(A11="","",COUNTIF(Ventas!$E$2:$E,A11))</f>
        <v/>
      </c>
      <c r="E11" s="7">
        <f>IF(A11="","",SUMIF(Ventas!$E$2:$E,A11,Ventas!$D$2:$D))</f>
        <v/>
      </c>
      <c r="F11" s="7">
        <f>IF(A11="","",SUMIF(Ventas!$E$2:$E,A11,Ventas!$F$2:$F))</f>
        <v/>
      </c>
      <c r="G11" s="7">
        <f>IF(A11="","",SUMIFS(Ventas!$F$2:$F,Ventas!$E$2:$E,A11,Ventas!$G$2:$G,"Sí"))</f>
        <v/>
      </c>
      <c r="H11" s="7">
        <f>IF(A11="","",F11-G11)</f>
        <v/>
      </c>
    </row>
    <row r="12">
      <c r="A12" s="6" t="n"/>
      <c r="B12" s="6" t="n"/>
      <c r="C12" s="6" t="n"/>
      <c r="D12" s="6">
        <f>IF(A12="","",COUNTIF(Ventas!$E$2:$E,A12))</f>
        <v/>
      </c>
      <c r="E12" s="7">
        <f>IF(A12="","",SUMIF(Ventas!$E$2:$E,A12,Ventas!$D$2:$D))</f>
        <v/>
      </c>
      <c r="F12" s="7">
        <f>IF(A12="","",SUMIF(Ventas!$E$2:$E,A12,Ventas!$F$2:$F))</f>
        <v/>
      </c>
      <c r="G12" s="7">
        <f>IF(A12="","",SUMIFS(Ventas!$F$2:$F,Ventas!$E$2:$E,A12,Ventas!$G$2:$G,"Sí"))</f>
        <v/>
      </c>
      <c r="H12" s="7">
        <f>IF(A12="","",F12-G12)</f>
        <v/>
      </c>
    </row>
    <row r="13">
      <c r="A13" s="6" t="n"/>
      <c r="B13" s="6" t="n"/>
      <c r="C13" s="6" t="n"/>
      <c r="D13" s="6">
        <f>IF(A13="","",COUNTIF(Ventas!$E$2:$E,A13))</f>
        <v/>
      </c>
      <c r="E13" s="7">
        <f>IF(A13="","",SUMIF(Ventas!$E$2:$E,A13,Ventas!$D$2:$D))</f>
        <v/>
      </c>
      <c r="F13" s="7">
        <f>IF(A13="","",SUMIF(Ventas!$E$2:$E,A13,Ventas!$F$2:$F))</f>
        <v/>
      </c>
      <c r="G13" s="7">
        <f>IF(A13="","",SUMIFS(Ventas!$F$2:$F,Ventas!$E$2:$E,A13,Ventas!$G$2:$G,"Sí"))</f>
        <v/>
      </c>
      <c r="H13" s="7">
        <f>IF(A13="","",F13-G13)</f>
        <v/>
      </c>
    </row>
    <row r="14">
      <c r="A14" s="6" t="n"/>
      <c r="B14" s="6" t="n"/>
      <c r="C14" s="6" t="n"/>
      <c r="D14" s="6">
        <f>IF(A14="","",COUNTIF(Ventas!$E$2:$E,A14))</f>
        <v/>
      </c>
      <c r="E14" s="7">
        <f>IF(A14="","",SUMIF(Ventas!$E$2:$E,A14,Ventas!$D$2:$D))</f>
        <v/>
      </c>
      <c r="F14" s="7">
        <f>IF(A14="","",SUMIF(Ventas!$E$2:$E,A14,Ventas!$F$2:$F))</f>
        <v/>
      </c>
      <c r="G14" s="7">
        <f>IF(A14="","",SUMIFS(Ventas!$F$2:$F,Ventas!$E$2:$E,A14,Ventas!$G$2:$G,"Sí"))</f>
        <v/>
      </c>
      <c r="H14" s="7">
        <f>IF(A14="","",F14-G14)</f>
        <v/>
      </c>
    </row>
    <row r="15">
      <c r="A15" s="6" t="n"/>
      <c r="B15" s="6" t="n"/>
      <c r="C15" s="6" t="n"/>
      <c r="D15" s="6">
        <f>IF(A15="","",COUNTIF(Ventas!$E$2:$E,A15))</f>
        <v/>
      </c>
      <c r="E15" s="7">
        <f>IF(A15="","",SUMIF(Ventas!$E$2:$E,A15,Ventas!$D$2:$D))</f>
        <v/>
      </c>
      <c r="F15" s="7">
        <f>IF(A15="","",SUMIF(Ventas!$E$2:$E,A15,Ventas!$F$2:$F))</f>
        <v/>
      </c>
      <c r="G15" s="7">
        <f>IF(A15="","",SUMIFS(Ventas!$F$2:$F,Ventas!$E$2:$E,A15,Ventas!$G$2:$G,"Sí"))</f>
        <v/>
      </c>
      <c r="H15" s="7">
        <f>IF(A15="","",F15-G15)</f>
        <v/>
      </c>
    </row>
    <row r="16">
      <c r="A16" s="6" t="n"/>
      <c r="B16" s="6" t="n"/>
      <c r="C16" s="6" t="n"/>
      <c r="D16" s="6">
        <f>IF(A16="","",COUNTIF(Ventas!$E$2:$E,A16))</f>
        <v/>
      </c>
      <c r="E16" s="7">
        <f>IF(A16="","",SUMIF(Ventas!$E$2:$E,A16,Ventas!$D$2:$D))</f>
        <v/>
      </c>
      <c r="F16" s="7">
        <f>IF(A16="","",SUMIF(Ventas!$E$2:$E,A16,Ventas!$F$2:$F))</f>
        <v/>
      </c>
      <c r="G16" s="7">
        <f>IF(A16="","",SUMIFS(Ventas!$F$2:$F,Ventas!$E$2:$E,A16,Ventas!$G$2:$G,"Sí"))</f>
        <v/>
      </c>
      <c r="H16" s="7">
        <f>IF(A16="","",F16-G16)</f>
        <v/>
      </c>
    </row>
    <row r="17">
      <c r="A17" s="6" t="n"/>
      <c r="B17" s="6" t="n"/>
      <c r="C17" s="6" t="n"/>
      <c r="D17" s="6">
        <f>IF(A17="","",COUNTIF(Ventas!$E$2:$E,A17))</f>
        <v/>
      </c>
      <c r="E17" s="7">
        <f>IF(A17="","",SUMIF(Ventas!$E$2:$E,A17,Ventas!$D$2:$D))</f>
        <v/>
      </c>
      <c r="F17" s="7">
        <f>IF(A17="","",SUMIF(Ventas!$E$2:$E,A17,Ventas!$F$2:$F))</f>
        <v/>
      </c>
      <c r="G17" s="7">
        <f>IF(A17="","",SUMIFS(Ventas!$F$2:$F,Ventas!$E$2:$E,A17,Ventas!$G$2:$G,"Sí"))</f>
        <v/>
      </c>
      <c r="H17" s="7">
        <f>IF(A17="","",F17-G17)</f>
        <v/>
      </c>
    </row>
    <row r="18">
      <c r="A18" s="6" t="n"/>
      <c r="B18" s="6" t="n"/>
      <c r="C18" s="6" t="n"/>
      <c r="D18" s="6">
        <f>IF(A18="","",COUNTIF(Ventas!$E$2:$E,A18))</f>
        <v/>
      </c>
      <c r="E18" s="7">
        <f>IF(A18="","",SUMIF(Ventas!$E$2:$E,A18,Ventas!$D$2:$D))</f>
        <v/>
      </c>
      <c r="F18" s="7">
        <f>IF(A18="","",SUMIF(Ventas!$E$2:$E,A18,Ventas!$F$2:$F))</f>
        <v/>
      </c>
      <c r="G18" s="7">
        <f>IF(A18="","",SUMIFS(Ventas!$F$2:$F,Ventas!$E$2:$E,A18,Ventas!$G$2:$G,"Sí"))</f>
        <v/>
      </c>
      <c r="H18" s="7">
        <f>IF(A18="","",F18-G18)</f>
        <v/>
      </c>
    </row>
    <row r="19">
      <c r="A19" s="6" t="n"/>
      <c r="B19" s="6" t="n"/>
      <c r="C19" s="6" t="n"/>
      <c r="D19" s="6">
        <f>IF(A19="","",COUNTIF(Ventas!$E$2:$E,A19))</f>
        <v/>
      </c>
      <c r="E19" s="7">
        <f>IF(A19="","",SUMIF(Ventas!$E$2:$E,A19,Ventas!$D$2:$D))</f>
        <v/>
      </c>
      <c r="F19" s="7">
        <f>IF(A19="","",SUMIF(Ventas!$E$2:$E,A19,Ventas!$F$2:$F))</f>
        <v/>
      </c>
      <c r="G19" s="7">
        <f>IF(A19="","",SUMIFS(Ventas!$F$2:$F,Ventas!$E$2:$E,A19,Ventas!$G$2:$G,"Sí"))</f>
        <v/>
      </c>
      <c r="H19" s="7">
        <f>IF(A19="","",F19-G19)</f>
        <v/>
      </c>
    </row>
    <row r="20">
      <c r="A20" s="6" t="n"/>
      <c r="B20" s="6" t="n"/>
      <c r="C20" s="6" t="n"/>
      <c r="D20" s="6">
        <f>IF(A20="","",COUNTIF(Ventas!$E$2:$E,A20))</f>
        <v/>
      </c>
      <c r="E20" s="7">
        <f>IF(A20="","",SUMIF(Ventas!$E$2:$E,A20,Ventas!$D$2:$D))</f>
        <v/>
      </c>
      <c r="F20" s="7">
        <f>IF(A20="","",SUMIF(Ventas!$E$2:$E,A20,Ventas!$F$2:$F))</f>
        <v/>
      </c>
      <c r="G20" s="7">
        <f>IF(A20="","",SUMIFS(Ventas!$F$2:$F,Ventas!$E$2:$E,A20,Ventas!$G$2:$G,"Sí"))</f>
        <v/>
      </c>
      <c r="H20" s="7">
        <f>IF(A20="","",F20-G20)</f>
        <v/>
      </c>
    </row>
    <row r="21">
      <c r="A21" s="6" t="n"/>
      <c r="B21" s="6" t="n"/>
      <c r="C21" s="6" t="n"/>
      <c r="D21" s="6">
        <f>IF(A21="","",COUNTIF(Ventas!$E$2:$E,A21))</f>
        <v/>
      </c>
      <c r="E21" s="7">
        <f>IF(A21="","",SUMIF(Ventas!$E$2:$E,A21,Ventas!$D$2:$D))</f>
        <v/>
      </c>
      <c r="F21" s="7">
        <f>IF(A21="","",SUMIF(Ventas!$E$2:$E,A21,Ventas!$F$2:$F))</f>
        <v/>
      </c>
      <c r="G21" s="7">
        <f>IF(A21="","",SUMIFS(Ventas!$F$2:$F,Ventas!$E$2:$E,A21,Ventas!$G$2:$G,"Sí"))</f>
        <v/>
      </c>
      <c r="H21" s="7">
        <f>IF(A21="","",F21-G21)</f>
        <v/>
      </c>
    </row>
    <row r="22">
      <c r="A22" s="6" t="n"/>
      <c r="B22" s="6" t="n"/>
      <c r="C22" s="6" t="n"/>
      <c r="D22" s="6">
        <f>IF(A22="","",COUNTIF(Ventas!$E$2:$E,A22))</f>
        <v/>
      </c>
      <c r="E22" s="7">
        <f>IF(A22="","",SUMIF(Ventas!$E$2:$E,A22,Ventas!$D$2:$D))</f>
        <v/>
      </c>
      <c r="F22" s="7">
        <f>IF(A22="","",SUMIF(Ventas!$E$2:$E,A22,Ventas!$F$2:$F))</f>
        <v/>
      </c>
      <c r="G22" s="7">
        <f>IF(A22="","",SUMIFS(Ventas!$F$2:$F,Ventas!$E$2:$E,A22,Ventas!$G$2:$G,"Sí"))</f>
        <v/>
      </c>
      <c r="H22" s="7">
        <f>IF(A22="","",F22-G22)</f>
        <v/>
      </c>
    </row>
    <row r="23">
      <c r="A23" s="6" t="n"/>
      <c r="B23" s="6" t="n"/>
      <c r="C23" s="6" t="n"/>
      <c r="D23" s="6">
        <f>IF(A23="","",COUNTIF(Ventas!$E$2:$E,A23))</f>
        <v/>
      </c>
      <c r="E23" s="7">
        <f>IF(A23="","",SUMIF(Ventas!$E$2:$E,A23,Ventas!$D$2:$D))</f>
        <v/>
      </c>
      <c r="F23" s="7">
        <f>IF(A23="","",SUMIF(Ventas!$E$2:$E,A23,Ventas!$F$2:$F))</f>
        <v/>
      </c>
      <c r="G23" s="7">
        <f>IF(A23="","",SUMIFS(Ventas!$F$2:$F,Ventas!$E$2:$E,A23,Ventas!$G$2:$G,"Sí"))</f>
        <v/>
      </c>
      <c r="H23" s="7">
        <f>IF(A23="","",F23-G23)</f>
        <v/>
      </c>
    </row>
    <row r="24">
      <c r="A24" s="6" t="n"/>
      <c r="B24" s="6" t="n"/>
      <c r="C24" s="6" t="n"/>
      <c r="D24" s="6">
        <f>IF(A24="","",COUNTIF(Ventas!$E$2:$E,A24))</f>
        <v/>
      </c>
      <c r="E24" s="7">
        <f>IF(A24="","",SUMIF(Ventas!$E$2:$E,A24,Ventas!$D$2:$D))</f>
        <v/>
      </c>
      <c r="F24" s="7">
        <f>IF(A24="","",SUMIF(Ventas!$E$2:$E,A24,Ventas!$F$2:$F))</f>
        <v/>
      </c>
      <c r="G24" s="7">
        <f>IF(A24="","",SUMIFS(Ventas!$F$2:$F,Ventas!$E$2:$E,A24,Ventas!$G$2:$G,"Sí"))</f>
        <v/>
      </c>
      <c r="H24" s="7">
        <f>IF(A24="","",F24-G24)</f>
        <v/>
      </c>
    </row>
    <row r="25">
      <c r="A25" s="6" t="n"/>
      <c r="B25" s="6" t="n"/>
      <c r="C25" s="6" t="n"/>
      <c r="D25" s="6">
        <f>IF(A25="","",COUNTIF(Ventas!$E$2:$E,A25))</f>
        <v/>
      </c>
      <c r="E25" s="7">
        <f>IF(A25="","",SUMIF(Ventas!$E$2:$E,A25,Ventas!$D$2:$D))</f>
        <v/>
      </c>
      <c r="F25" s="7">
        <f>IF(A25="","",SUMIF(Ventas!$E$2:$E,A25,Ventas!$F$2:$F))</f>
        <v/>
      </c>
      <c r="G25" s="7">
        <f>IF(A25="","",SUMIFS(Ventas!$F$2:$F,Ventas!$E$2:$E,A25,Ventas!$G$2:$G,"Sí"))</f>
        <v/>
      </c>
      <c r="H25" s="7">
        <f>IF(A25="","",F25-G25)</f>
        <v/>
      </c>
    </row>
    <row r="26">
      <c r="A26" s="6" t="n"/>
      <c r="B26" s="6" t="n"/>
      <c r="C26" s="6" t="n"/>
      <c r="D26" s="6">
        <f>IF(A26="","",COUNTIF(Ventas!$E$2:$E,A26))</f>
        <v/>
      </c>
      <c r="E26" s="7">
        <f>IF(A26="","",SUMIF(Ventas!$E$2:$E,A26,Ventas!$D$2:$D))</f>
        <v/>
      </c>
      <c r="F26" s="7">
        <f>IF(A26="","",SUMIF(Ventas!$E$2:$E,A26,Ventas!$F$2:$F))</f>
        <v/>
      </c>
      <c r="G26" s="7">
        <f>IF(A26="","",SUMIFS(Ventas!$F$2:$F,Ventas!$E$2:$E,A26,Ventas!$G$2:$G,"Sí"))</f>
        <v/>
      </c>
      <c r="H26" s="7">
        <f>IF(A26="","",F26-G26)</f>
        <v/>
      </c>
    </row>
    <row r="27">
      <c r="A27" s="6" t="n"/>
      <c r="B27" s="6" t="n"/>
      <c r="C27" s="6" t="n"/>
      <c r="D27" s="6">
        <f>IF(A27="","",COUNTIF(Ventas!$E$2:$E,A27))</f>
        <v/>
      </c>
      <c r="E27" s="7">
        <f>IF(A27="","",SUMIF(Ventas!$E$2:$E,A27,Ventas!$D$2:$D))</f>
        <v/>
      </c>
      <c r="F27" s="7">
        <f>IF(A27="","",SUMIF(Ventas!$E$2:$E,A27,Ventas!$F$2:$F))</f>
        <v/>
      </c>
      <c r="G27" s="7">
        <f>IF(A27="","",SUMIFS(Ventas!$F$2:$F,Ventas!$E$2:$E,A27,Ventas!$G$2:$G,"Sí"))</f>
        <v/>
      </c>
      <c r="H27" s="7">
        <f>IF(A27="","",F27-G27)</f>
        <v/>
      </c>
    </row>
    <row r="28">
      <c r="A28" s="6" t="n"/>
      <c r="B28" s="6" t="n"/>
      <c r="C28" s="6" t="n"/>
      <c r="D28" s="6">
        <f>IF(A28="","",COUNTIF(Ventas!$E$2:$E,A28))</f>
        <v/>
      </c>
      <c r="E28" s="7">
        <f>IF(A28="","",SUMIF(Ventas!$E$2:$E,A28,Ventas!$D$2:$D))</f>
        <v/>
      </c>
      <c r="F28" s="7">
        <f>IF(A28="","",SUMIF(Ventas!$E$2:$E,A28,Ventas!$F$2:$F))</f>
        <v/>
      </c>
      <c r="G28" s="7">
        <f>IF(A28="","",SUMIFS(Ventas!$F$2:$F,Ventas!$E$2:$E,A28,Ventas!$G$2:$G,"Sí"))</f>
        <v/>
      </c>
      <c r="H28" s="7">
        <f>IF(A28="","",F28-G28)</f>
        <v/>
      </c>
    </row>
    <row r="29">
      <c r="A29" s="6" t="n"/>
      <c r="B29" s="6" t="n"/>
      <c r="C29" s="6" t="n"/>
      <c r="D29" s="6">
        <f>IF(A29="","",COUNTIF(Ventas!$E$2:$E,A29))</f>
        <v/>
      </c>
      <c r="E29" s="7">
        <f>IF(A29="","",SUMIF(Ventas!$E$2:$E,A29,Ventas!$D$2:$D))</f>
        <v/>
      </c>
      <c r="F29" s="7">
        <f>IF(A29="","",SUMIF(Ventas!$E$2:$E,A29,Ventas!$F$2:$F))</f>
        <v/>
      </c>
      <c r="G29" s="7">
        <f>IF(A29="","",SUMIFS(Ventas!$F$2:$F,Ventas!$E$2:$E,A29,Ventas!$G$2:$G,"Sí"))</f>
        <v/>
      </c>
      <c r="H29" s="7">
        <f>IF(A29="","",F29-G29)</f>
        <v/>
      </c>
    </row>
    <row r="30">
      <c r="A30" s="6" t="n"/>
      <c r="B30" s="6" t="n"/>
      <c r="C30" s="6" t="n"/>
      <c r="D30" s="6">
        <f>IF(A30="","",COUNTIF(Ventas!$E$2:$E,A30))</f>
        <v/>
      </c>
      <c r="E30" s="7">
        <f>IF(A30="","",SUMIF(Ventas!$E$2:$E,A30,Ventas!$D$2:$D))</f>
        <v/>
      </c>
      <c r="F30" s="7">
        <f>IF(A30="","",SUMIF(Ventas!$E$2:$E,A30,Ventas!$F$2:$F))</f>
        <v/>
      </c>
      <c r="G30" s="7">
        <f>IF(A30="","",SUMIFS(Ventas!$F$2:$F,Ventas!$E$2:$E,A30,Ventas!$G$2:$G,"Sí"))</f>
        <v/>
      </c>
      <c r="H30" s="7">
        <f>IF(A30="","",F30-G30)</f>
        <v/>
      </c>
    </row>
    <row r="31">
      <c r="A31" s="6" t="n"/>
      <c r="B31" s="6" t="n"/>
      <c r="C31" s="6" t="n"/>
      <c r="D31" s="6">
        <f>IF(A31="","",COUNTIF(Ventas!$E$2:$E,A31))</f>
        <v/>
      </c>
      <c r="E31" s="7">
        <f>IF(A31="","",SUMIF(Ventas!$E$2:$E,A31,Ventas!$D$2:$D))</f>
        <v/>
      </c>
      <c r="F31" s="7">
        <f>IF(A31="","",SUMIF(Ventas!$E$2:$E,A31,Ventas!$F$2:$F))</f>
        <v/>
      </c>
      <c r="G31" s="7">
        <f>IF(A31="","",SUMIFS(Ventas!$F$2:$F,Ventas!$E$2:$E,A31,Ventas!$G$2:$G,"Sí"))</f>
        <v/>
      </c>
      <c r="H31" s="7">
        <f>IF(A31="","",F31-G31)</f>
        <v/>
      </c>
    </row>
    <row r="32">
      <c r="A32" s="6" t="n"/>
      <c r="B32" s="6" t="n"/>
      <c r="C32" s="6" t="n"/>
      <c r="D32" s="6">
        <f>IF(A32="","",COUNTIF(Ventas!$E$2:$E,A32))</f>
        <v/>
      </c>
      <c r="E32" s="7">
        <f>IF(A32="","",SUMIF(Ventas!$E$2:$E,A32,Ventas!$D$2:$D))</f>
        <v/>
      </c>
      <c r="F32" s="7">
        <f>IF(A32="","",SUMIF(Ventas!$E$2:$E,A32,Ventas!$F$2:$F))</f>
        <v/>
      </c>
      <c r="G32" s="7">
        <f>IF(A32="","",SUMIFS(Ventas!$F$2:$F,Ventas!$E$2:$E,A32,Ventas!$G$2:$G,"Sí"))</f>
        <v/>
      </c>
      <c r="H32" s="7">
        <f>IF(A32="","",F32-G32)</f>
        <v/>
      </c>
    </row>
    <row r="33">
      <c r="A33" s="6" t="n"/>
      <c r="B33" s="6" t="n"/>
      <c r="C33" s="6" t="n"/>
      <c r="D33" s="6">
        <f>IF(A33="","",COUNTIF(Ventas!$E$2:$E,A33))</f>
        <v/>
      </c>
      <c r="E33" s="7">
        <f>IF(A33="","",SUMIF(Ventas!$E$2:$E,A33,Ventas!$D$2:$D))</f>
        <v/>
      </c>
      <c r="F33" s="7">
        <f>IF(A33="","",SUMIF(Ventas!$E$2:$E,A33,Ventas!$F$2:$F))</f>
        <v/>
      </c>
      <c r="G33" s="7">
        <f>IF(A33="","",SUMIFS(Ventas!$F$2:$F,Ventas!$E$2:$E,A33,Ventas!$G$2:$G,"Sí"))</f>
        <v/>
      </c>
      <c r="H33" s="7">
        <f>IF(A33="","",F33-G33)</f>
        <v/>
      </c>
    </row>
    <row r="34">
      <c r="A34" s="6" t="n"/>
      <c r="B34" s="6" t="n"/>
      <c r="C34" s="6" t="n"/>
      <c r="D34" s="6">
        <f>IF(A34="","",COUNTIF(Ventas!$E$2:$E,A34))</f>
        <v/>
      </c>
      <c r="E34" s="7">
        <f>IF(A34="","",SUMIF(Ventas!$E$2:$E,A34,Ventas!$D$2:$D))</f>
        <v/>
      </c>
      <c r="F34" s="7">
        <f>IF(A34="","",SUMIF(Ventas!$E$2:$E,A34,Ventas!$F$2:$F))</f>
        <v/>
      </c>
      <c r="G34" s="7">
        <f>IF(A34="","",SUMIFS(Ventas!$F$2:$F,Ventas!$E$2:$E,A34,Ventas!$G$2:$G,"Sí"))</f>
        <v/>
      </c>
      <c r="H34" s="7">
        <f>IF(A34="","",F34-G34)</f>
        <v/>
      </c>
    </row>
    <row r="35">
      <c r="A35" s="6" t="n"/>
      <c r="B35" s="6" t="n"/>
      <c r="C35" s="6" t="n"/>
      <c r="D35" s="6">
        <f>IF(A35="","",COUNTIF(Ventas!$E$2:$E,A35))</f>
        <v/>
      </c>
      <c r="E35" s="7">
        <f>IF(A35="","",SUMIF(Ventas!$E$2:$E,A35,Ventas!$D$2:$D))</f>
        <v/>
      </c>
      <c r="F35" s="7">
        <f>IF(A35="","",SUMIF(Ventas!$E$2:$E,A35,Ventas!$F$2:$F))</f>
        <v/>
      </c>
      <c r="G35" s="7">
        <f>IF(A35="","",SUMIFS(Ventas!$F$2:$F,Ventas!$E$2:$E,A35,Ventas!$G$2:$G,"Sí"))</f>
        <v/>
      </c>
      <c r="H35" s="7">
        <f>IF(A35="","",F35-G35)</f>
        <v/>
      </c>
    </row>
    <row r="36">
      <c r="A36" s="6" t="n"/>
      <c r="B36" s="6" t="n"/>
      <c r="C36" s="6" t="n"/>
      <c r="D36" s="6">
        <f>IF(A36="","",COUNTIF(Ventas!$E$2:$E,A36))</f>
        <v/>
      </c>
      <c r="E36" s="7">
        <f>IF(A36="","",SUMIF(Ventas!$E$2:$E,A36,Ventas!$D$2:$D))</f>
        <v/>
      </c>
      <c r="F36" s="7">
        <f>IF(A36="","",SUMIF(Ventas!$E$2:$E,A36,Ventas!$F$2:$F))</f>
        <v/>
      </c>
      <c r="G36" s="7">
        <f>IF(A36="","",SUMIFS(Ventas!$F$2:$F,Ventas!$E$2:$E,A36,Ventas!$G$2:$G,"Sí"))</f>
        <v/>
      </c>
      <c r="H36" s="7">
        <f>IF(A36="","",F36-G36)</f>
        <v/>
      </c>
    </row>
    <row r="37">
      <c r="A37" s="6" t="n"/>
      <c r="B37" s="6" t="n"/>
      <c r="C37" s="6" t="n"/>
      <c r="D37" s="6">
        <f>IF(A37="","",COUNTIF(Ventas!$E$2:$E,A37))</f>
        <v/>
      </c>
      <c r="E37" s="7">
        <f>IF(A37="","",SUMIF(Ventas!$E$2:$E,A37,Ventas!$D$2:$D))</f>
        <v/>
      </c>
      <c r="F37" s="7">
        <f>IF(A37="","",SUMIF(Ventas!$E$2:$E,A37,Ventas!$F$2:$F))</f>
        <v/>
      </c>
      <c r="G37" s="7">
        <f>IF(A37="","",SUMIFS(Ventas!$F$2:$F,Ventas!$E$2:$E,A37,Ventas!$G$2:$G,"Sí"))</f>
        <v/>
      </c>
      <c r="H37" s="7">
        <f>IF(A37="","",F37-G37)</f>
        <v/>
      </c>
    </row>
    <row r="38">
      <c r="A38" s="6" t="n"/>
      <c r="B38" s="6" t="n"/>
      <c r="C38" s="6" t="n"/>
      <c r="D38" s="6">
        <f>IF(A38="","",COUNTIF(Ventas!$E$2:$E,A38))</f>
        <v/>
      </c>
      <c r="E38" s="7">
        <f>IF(A38="","",SUMIF(Ventas!$E$2:$E,A38,Ventas!$D$2:$D))</f>
        <v/>
      </c>
      <c r="F38" s="7">
        <f>IF(A38="","",SUMIF(Ventas!$E$2:$E,A38,Ventas!$F$2:$F))</f>
        <v/>
      </c>
      <c r="G38" s="7">
        <f>IF(A38="","",SUMIFS(Ventas!$F$2:$F,Ventas!$E$2:$E,A38,Ventas!$G$2:$G,"Sí"))</f>
        <v/>
      </c>
      <c r="H38" s="7">
        <f>IF(A38="","",F38-G38)</f>
        <v/>
      </c>
    </row>
    <row r="39">
      <c r="A39" s="6" t="n"/>
      <c r="B39" s="6" t="n"/>
      <c r="C39" s="6" t="n"/>
      <c r="D39" s="6">
        <f>IF(A39="","",COUNTIF(Ventas!$E$2:$E,A39))</f>
        <v/>
      </c>
      <c r="E39" s="7">
        <f>IF(A39="","",SUMIF(Ventas!$E$2:$E,A39,Ventas!$D$2:$D))</f>
        <v/>
      </c>
      <c r="F39" s="7">
        <f>IF(A39="","",SUMIF(Ventas!$E$2:$E,A39,Ventas!$F$2:$F))</f>
        <v/>
      </c>
      <c r="G39" s="7">
        <f>IF(A39="","",SUMIFS(Ventas!$F$2:$F,Ventas!$E$2:$E,A39,Ventas!$G$2:$G,"Sí"))</f>
        <v/>
      </c>
      <c r="H39" s="7">
        <f>IF(A39="","",F39-G39)</f>
        <v/>
      </c>
    </row>
    <row r="40">
      <c r="A40" s="6" t="n"/>
      <c r="B40" s="6" t="n"/>
      <c r="C40" s="6" t="n"/>
      <c r="D40" s="6">
        <f>IF(A40="","",COUNTIF(Ventas!$E$2:$E,A40))</f>
        <v/>
      </c>
      <c r="E40" s="7">
        <f>IF(A40="","",SUMIF(Ventas!$E$2:$E,A40,Ventas!$D$2:$D))</f>
        <v/>
      </c>
      <c r="F40" s="7">
        <f>IF(A40="","",SUMIF(Ventas!$E$2:$E,A40,Ventas!$F$2:$F))</f>
        <v/>
      </c>
      <c r="G40" s="7">
        <f>IF(A40="","",SUMIFS(Ventas!$F$2:$F,Ventas!$E$2:$E,A40,Ventas!$G$2:$G,"Sí"))</f>
        <v/>
      </c>
      <c r="H40" s="7">
        <f>IF(A40="","",F40-G40)</f>
        <v/>
      </c>
    </row>
    <row r="41">
      <c r="A41" s="6" t="n"/>
      <c r="B41" s="6" t="n"/>
      <c r="C41" s="6" t="n"/>
      <c r="D41" s="6">
        <f>IF(A41="","",COUNTIF(Ventas!$E$2:$E,A41))</f>
        <v/>
      </c>
      <c r="E41" s="7">
        <f>IF(A41="","",SUMIF(Ventas!$E$2:$E,A41,Ventas!$D$2:$D))</f>
        <v/>
      </c>
      <c r="F41" s="7">
        <f>IF(A41="","",SUMIF(Ventas!$E$2:$E,A41,Ventas!$F$2:$F))</f>
        <v/>
      </c>
      <c r="G41" s="7">
        <f>IF(A41="","",SUMIFS(Ventas!$F$2:$F,Ventas!$E$2:$E,A41,Ventas!$G$2:$G,"Sí"))</f>
        <v/>
      </c>
      <c r="H41" s="7">
        <f>IF(A41="","",F41-G41)</f>
        <v/>
      </c>
    </row>
    <row r="42">
      <c r="A42" s="6" t="n"/>
      <c r="B42" s="6" t="n"/>
      <c r="C42" s="6" t="n"/>
      <c r="D42" s="6">
        <f>IF(A42="","",COUNTIF(Ventas!$E$2:$E,A42))</f>
        <v/>
      </c>
      <c r="E42" s="7">
        <f>IF(A42="","",SUMIF(Ventas!$E$2:$E,A42,Ventas!$D$2:$D))</f>
        <v/>
      </c>
      <c r="F42" s="7">
        <f>IF(A42="","",SUMIF(Ventas!$E$2:$E,A42,Ventas!$F$2:$F))</f>
        <v/>
      </c>
      <c r="G42" s="7">
        <f>IF(A42="","",SUMIFS(Ventas!$F$2:$F,Ventas!$E$2:$E,A42,Ventas!$G$2:$G,"Sí"))</f>
        <v/>
      </c>
      <c r="H42" s="7">
        <f>IF(A42="","",F42-G42)</f>
        <v/>
      </c>
    </row>
    <row r="43">
      <c r="A43" s="6" t="n"/>
      <c r="B43" s="6" t="n"/>
      <c r="C43" s="6" t="n"/>
      <c r="D43" s="6">
        <f>IF(A43="","",COUNTIF(Ventas!$E$2:$E,A43))</f>
        <v/>
      </c>
      <c r="E43" s="7">
        <f>IF(A43="","",SUMIF(Ventas!$E$2:$E,A43,Ventas!$D$2:$D))</f>
        <v/>
      </c>
      <c r="F43" s="7">
        <f>IF(A43="","",SUMIF(Ventas!$E$2:$E,A43,Ventas!$F$2:$F))</f>
        <v/>
      </c>
      <c r="G43" s="7">
        <f>IF(A43="","",SUMIFS(Ventas!$F$2:$F,Ventas!$E$2:$E,A43,Ventas!$G$2:$G,"Sí"))</f>
        <v/>
      </c>
      <c r="H43" s="7">
        <f>IF(A43="","",F43-G43)</f>
        <v/>
      </c>
    </row>
    <row r="44">
      <c r="A44" s="6" t="n"/>
      <c r="B44" s="6" t="n"/>
      <c r="C44" s="6" t="n"/>
      <c r="D44" s="6">
        <f>IF(A44="","",COUNTIF(Ventas!$E$2:$E,A44))</f>
        <v/>
      </c>
      <c r="E44" s="7">
        <f>IF(A44="","",SUMIF(Ventas!$E$2:$E,A44,Ventas!$D$2:$D))</f>
        <v/>
      </c>
      <c r="F44" s="7">
        <f>IF(A44="","",SUMIF(Ventas!$E$2:$E,A44,Ventas!$F$2:$F))</f>
        <v/>
      </c>
      <c r="G44" s="7">
        <f>IF(A44="","",SUMIFS(Ventas!$F$2:$F,Ventas!$E$2:$E,A44,Ventas!$G$2:$G,"Sí"))</f>
        <v/>
      </c>
      <c r="H44" s="7">
        <f>IF(A44="","",F44-G44)</f>
        <v/>
      </c>
    </row>
    <row r="45">
      <c r="A45" s="6" t="n"/>
      <c r="B45" s="6" t="n"/>
      <c r="C45" s="6" t="n"/>
      <c r="D45" s="6">
        <f>IF(A45="","",COUNTIF(Ventas!$E$2:$E,A45))</f>
        <v/>
      </c>
      <c r="E45" s="7">
        <f>IF(A45="","",SUMIF(Ventas!$E$2:$E,A45,Ventas!$D$2:$D))</f>
        <v/>
      </c>
      <c r="F45" s="7">
        <f>IF(A45="","",SUMIF(Ventas!$E$2:$E,A45,Ventas!$F$2:$F))</f>
        <v/>
      </c>
      <c r="G45" s="7">
        <f>IF(A45="","",SUMIFS(Ventas!$F$2:$F,Ventas!$E$2:$E,A45,Ventas!$G$2:$G,"Sí"))</f>
        <v/>
      </c>
      <c r="H45" s="7">
        <f>IF(A45="","",F45-G45)</f>
        <v/>
      </c>
    </row>
    <row r="46">
      <c r="A46" s="6" t="n"/>
      <c r="B46" s="6" t="n"/>
      <c r="C46" s="6" t="n"/>
      <c r="D46" s="6">
        <f>IF(A46="","",COUNTIF(Ventas!$E$2:$E,A46))</f>
        <v/>
      </c>
      <c r="E46" s="7">
        <f>IF(A46="","",SUMIF(Ventas!$E$2:$E,A46,Ventas!$D$2:$D))</f>
        <v/>
      </c>
      <c r="F46" s="7">
        <f>IF(A46="","",SUMIF(Ventas!$E$2:$E,A46,Ventas!$F$2:$F))</f>
        <v/>
      </c>
      <c r="G46" s="7">
        <f>IF(A46="","",SUMIFS(Ventas!$F$2:$F,Ventas!$E$2:$E,A46,Ventas!$G$2:$G,"Sí"))</f>
        <v/>
      </c>
      <c r="H46" s="7">
        <f>IF(A46="","",F46-G46)</f>
        <v/>
      </c>
    </row>
    <row r="47">
      <c r="A47" s="6" t="n"/>
      <c r="B47" s="6" t="n"/>
      <c r="C47" s="6" t="n"/>
      <c r="D47" s="6">
        <f>IF(A47="","",COUNTIF(Ventas!$E$2:$E,A47))</f>
        <v/>
      </c>
      <c r="E47" s="7">
        <f>IF(A47="","",SUMIF(Ventas!$E$2:$E,A47,Ventas!$D$2:$D))</f>
        <v/>
      </c>
      <c r="F47" s="7">
        <f>IF(A47="","",SUMIF(Ventas!$E$2:$E,A47,Ventas!$F$2:$F))</f>
        <v/>
      </c>
      <c r="G47" s="7">
        <f>IF(A47="","",SUMIFS(Ventas!$F$2:$F,Ventas!$E$2:$E,A47,Ventas!$G$2:$G,"Sí"))</f>
        <v/>
      </c>
      <c r="H47" s="7">
        <f>IF(A47="","",F47-G47)</f>
        <v/>
      </c>
    </row>
    <row r="48">
      <c r="A48" s="6" t="n"/>
      <c r="B48" s="6" t="n"/>
      <c r="C48" s="6" t="n"/>
      <c r="D48" s="6">
        <f>IF(A48="","",COUNTIF(Ventas!$E$2:$E,A48))</f>
        <v/>
      </c>
      <c r="E48" s="7">
        <f>IF(A48="","",SUMIF(Ventas!$E$2:$E,A48,Ventas!$D$2:$D))</f>
        <v/>
      </c>
      <c r="F48" s="7">
        <f>IF(A48="","",SUMIF(Ventas!$E$2:$E,A48,Ventas!$F$2:$F))</f>
        <v/>
      </c>
      <c r="G48" s="7">
        <f>IF(A48="","",SUMIFS(Ventas!$F$2:$F,Ventas!$E$2:$E,A48,Ventas!$G$2:$G,"Sí"))</f>
        <v/>
      </c>
      <c r="H48" s="7">
        <f>IF(A48="","",F48-G48)</f>
        <v/>
      </c>
    </row>
    <row r="49">
      <c r="A49" s="6" t="n"/>
      <c r="B49" s="6" t="n"/>
      <c r="C49" s="6" t="n"/>
      <c r="D49" s="6">
        <f>IF(A49="","",COUNTIF(Ventas!$E$2:$E,A49))</f>
        <v/>
      </c>
      <c r="E49" s="7">
        <f>IF(A49="","",SUMIF(Ventas!$E$2:$E,A49,Ventas!$D$2:$D))</f>
        <v/>
      </c>
      <c r="F49" s="7">
        <f>IF(A49="","",SUMIF(Ventas!$E$2:$E,A49,Ventas!$F$2:$F))</f>
        <v/>
      </c>
      <c r="G49" s="7">
        <f>IF(A49="","",SUMIFS(Ventas!$F$2:$F,Ventas!$E$2:$E,A49,Ventas!$G$2:$G,"Sí"))</f>
        <v/>
      </c>
      <c r="H49" s="7">
        <f>IF(A49="","",F49-G49)</f>
        <v/>
      </c>
    </row>
    <row r="50">
      <c r="A50" s="6" t="n"/>
      <c r="B50" s="6" t="n"/>
      <c r="C50" s="6" t="n"/>
      <c r="D50" s="6">
        <f>IF(A50="","",COUNTIF(Ventas!$E$2:$E,A50))</f>
        <v/>
      </c>
      <c r="E50" s="7">
        <f>IF(A50="","",SUMIF(Ventas!$E$2:$E,A50,Ventas!$D$2:$D))</f>
        <v/>
      </c>
      <c r="F50" s="7">
        <f>IF(A50="","",SUMIF(Ventas!$E$2:$E,A50,Ventas!$F$2:$F))</f>
        <v/>
      </c>
      <c r="G50" s="7">
        <f>IF(A50="","",SUMIFS(Ventas!$F$2:$F,Ventas!$E$2:$E,A50,Ventas!$G$2:$G,"Sí"))</f>
        <v/>
      </c>
      <c r="H50" s="7">
        <f>IF(A50="","",F50-G50)</f>
        <v/>
      </c>
    </row>
    <row r="51">
      <c r="A51" s="6" t="n"/>
      <c r="B51" s="6" t="n"/>
      <c r="C51" s="6" t="n"/>
      <c r="D51" s="6">
        <f>IF(A51="","",COUNTIF(Ventas!$E$2:$E,A51))</f>
        <v/>
      </c>
      <c r="E51" s="7">
        <f>IF(A51="","",SUMIF(Ventas!$E$2:$E,A51,Ventas!$D$2:$D))</f>
        <v/>
      </c>
      <c r="F51" s="7">
        <f>IF(A51="","",SUMIF(Ventas!$E$2:$E,A51,Ventas!$F$2:$F))</f>
        <v/>
      </c>
      <c r="G51" s="7">
        <f>IF(A51="","",SUMIFS(Ventas!$F$2:$F,Ventas!$E$2:$E,A51,Ventas!$G$2:$G,"Sí"))</f>
        <v/>
      </c>
      <c r="H51" s="7">
        <f>IF(A51="","",F51-G51)</f>
        <v/>
      </c>
    </row>
    <row r="52">
      <c r="A52" s="6" t="n"/>
      <c r="B52" s="6" t="n"/>
      <c r="C52" s="6" t="n"/>
      <c r="D52" s="6">
        <f>IF(A52="","",COUNTIF(Ventas!$E$2:$E,A52))</f>
        <v/>
      </c>
      <c r="E52" s="7">
        <f>IF(A52="","",SUMIF(Ventas!$E$2:$E,A52,Ventas!$D$2:$D))</f>
        <v/>
      </c>
      <c r="F52" s="7">
        <f>IF(A52="","",SUMIF(Ventas!$E$2:$E,A52,Ventas!$F$2:$F))</f>
        <v/>
      </c>
      <c r="G52" s="7">
        <f>IF(A52="","",SUMIFS(Ventas!$F$2:$F,Ventas!$E$2:$E,A52,Ventas!$G$2:$G,"Sí"))</f>
        <v/>
      </c>
      <c r="H52" s="7">
        <f>IF(A52="","",F52-G52)</f>
        <v/>
      </c>
    </row>
    <row r="53">
      <c r="A53" s="6" t="n"/>
      <c r="B53" s="6" t="n"/>
      <c r="C53" s="6" t="n"/>
      <c r="D53" s="6">
        <f>IF(A53="","",COUNTIF(Ventas!$E$2:$E,A53))</f>
        <v/>
      </c>
      <c r="E53" s="7">
        <f>IF(A53="","",SUMIF(Ventas!$E$2:$E,A53,Ventas!$D$2:$D))</f>
        <v/>
      </c>
      <c r="F53" s="7">
        <f>IF(A53="","",SUMIF(Ventas!$E$2:$E,A53,Ventas!$F$2:$F))</f>
        <v/>
      </c>
      <c r="G53" s="7">
        <f>IF(A53="","",SUMIFS(Ventas!$F$2:$F,Ventas!$E$2:$E,A53,Ventas!$G$2:$G,"Sí"))</f>
        <v/>
      </c>
      <c r="H53" s="7">
        <f>IF(A53="","",F53-G53)</f>
        <v/>
      </c>
    </row>
    <row r="54">
      <c r="A54" s="6" t="n"/>
      <c r="B54" s="6" t="n"/>
      <c r="C54" s="6" t="n"/>
      <c r="D54" s="6">
        <f>IF(A54="","",COUNTIF(Ventas!$E$2:$E,A54))</f>
        <v/>
      </c>
      <c r="E54" s="7">
        <f>IF(A54="","",SUMIF(Ventas!$E$2:$E,A54,Ventas!$D$2:$D))</f>
        <v/>
      </c>
      <c r="F54" s="7">
        <f>IF(A54="","",SUMIF(Ventas!$E$2:$E,A54,Ventas!$F$2:$F))</f>
        <v/>
      </c>
      <c r="G54" s="7">
        <f>IF(A54="","",SUMIFS(Ventas!$F$2:$F,Ventas!$E$2:$E,A54,Ventas!$G$2:$G,"Sí"))</f>
        <v/>
      </c>
      <c r="H54" s="7">
        <f>IF(A54="","",F54-G54)</f>
        <v/>
      </c>
    </row>
    <row r="55">
      <c r="A55" s="6" t="n"/>
      <c r="B55" s="6" t="n"/>
      <c r="C55" s="6" t="n"/>
      <c r="D55" s="6">
        <f>IF(A55="","",COUNTIF(Ventas!$E$2:$E,A55))</f>
        <v/>
      </c>
      <c r="E55" s="7">
        <f>IF(A55="","",SUMIF(Ventas!$E$2:$E,A55,Ventas!$D$2:$D))</f>
        <v/>
      </c>
      <c r="F55" s="7">
        <f>IF(A55="","",SUMIF(Ventas!$E$2:$E,A55,Ventas!$F$2:$F))</f>
        <v/>
      </c>
      <c r="G55" s="7">
        <f>IF(A55="","",SUMIFS(Ventas!$F$2:$F,Ventas!$E$2:$E,A55,Ventas!$G$2:$G,"Sí"))</f>
        <v/>
      </c>
      <c r="H55" s="7">
        <f>IF(A55="","",F55-G55)</f>
        <v/>
      </c>
    </row>
    <row r="56">
      <c r="A56" s="6" t="n"/>
      <c r="B56" s="6" t="n"/>
      <c r="C56" s="6" t="n"/>
      <c r="D56" s="6">
        <f>IF(A56="","",COUNTIF(Ventas!$E$2:$E,A56))</f>
        <v/>
      </c>
      <c r="E56" s="7">
        <f>IF(A56="","",SUMIF(Ventas!$E$2:$E,A56,Ventas!$D$2:$D))</f>
        <v/>
      </c>
      <c r="F56" s="7">
        <f>IF(A56="","",SUMIF(Ventas!$E$2:$E,A56,Ventas!$F$2:$F))</f>
        <v/>
      </c>
      <c r="G56" s="7">
        <f>IF(A56="","",SUMIFS(Ventas!$F$2:$F,Ventas!$E$2:$E,A56,Ventas!$G$2:$G,"Sí"))</f>
        <v/>
      </c>
      <c r="H56" s="7">
        <f>IF(A56="","",F56-G56)</f>
        <v/>
      </c>
    </row>
    <row r="57">
      <c r="A57" s="6" t="n"/>
      <c r="B57" s="6" t="n"/>
      <c r="C57" s="6" t="n"/>
      <c r="D57" s="6">
        <f>IF(A57="","",COUNTIF(Ventas!$E$2:$E,A57))</f>
        <v/>
      </c>
      <c r="E57" s="7">
        <f>IF(A57="","",SUMIF(Ventas!$E$2:$E,A57,Ventas!$D$2:$D))</f>
        <v/>
      </c>
      <c r="F57" s="7">
        <f>IF(A57="","",SUMIF(Ventas!$E$2:$E,A57,Ventas!$F$2:$F))</f>
        <v/>
      </c>
      <c r="G57" s="7">
        <f>IF(A57="","",SUMIFS(Ventas!$F$2:$F,Ventas!$E$2:$E,A57,Ventas!$G$2:$G,"Sí"))</f>
        <v/>
      </c>
      <c r="H57" s="7">
        <f>IF(A57="","",F57-G57)</f>
        <v/>
      </c>
    </row>
    <row r="58">
      <c r="A58" s="6" t="n"/>
      <c r="B58" s="6" t="n"/>
      <c r="C58" s="6" t="n"/>
      <c r="D58" s="6">
        <f>IF(A58="","",COUNTIF(Ventas!$E$2:$E,A58))</f>
        <v/>
      </c>
      <c r="E58" s="7">
        <f>IF(A58="","",SUMIF(Ventas!$E$2:$E,A58,Ventas!$D$2:$D))</f>
        <v/>
      </c>
      <c r="F58" s="7">
        <f>IF(A58="","",SUMIF(Ventas!$E$2:$E,A58,Ventas!$F$2:$F))</f>
        <v/>
      </c>
      <c r="G58" s="7">
        <f>IF(A58="","",SUMIFS(Ventas!$F$2:$F,Ventas!$E$2:$E,A58,Ventas!$G$2:$G,"Sí"))</f>
        <v/>
      </c>
      <c r="H58" s="7">
        <f>IF(A58="","",F58-G58)</f>
        <v/>
      </c>
    </row>
    <row r="59">
      <c r="A59" s="6" t="n"/>
      <c r="B59" s="6" t="n"/>
      <c r="C59" s="6" t="n"/>
      <c r="D59" s="6">
        <f>IF(A59="","",COUNTIF(Ventas!$E$2:$E,A59))</f>
        <v/>
      </c>
      <c r="E59" s="7">
        <f>IF(A59="","",SUMIF(Ventas!$E$2:$E,A59,Ventas!$D$2:$D))</f>
        <v/>
      </c>
      <c r="F59" s="7">
        <f>IF(A59="","",SUMIF(Ventas!$E$2:$E,A59,Ventas!$F$2:$F))</f>
        <v/>
      </c>
      <c r="G59" s="7">
        <f>IF(A59="","",SUMIFS(Ventas!$F$2:$F,Ventas!$E$2:$E,A59,Ventas!$G$2:$G,"Sí"))</f>
        <v/>
      </c>
      <c r="H59" s="7">
        <f>IF(A59="","",F59-G59)</f>
        <v/>
      </c>
    </row>
    <row r="60">
      <c r="A60" s="6" t="n"/>
      <c r="B60" s="6" t="n"/>
      <c r="C60" s="6" t="n"/>
      <c r="D60" s="6">
        <f>IF(A60="","",COUNTIF(Ventas!$E$2:$E,A60))</f>
        <v/>
      </c>
      <c r="E60" s="7">
        <f>IF(A60="","",SUMIF(Ventas!$E$2:$E,A60,Ventas!$D$2:$D))</f>
        <v/>
      </c>
      <c r="F60" s="7">
        <f>IF(A60="","",SUMIF(Ventas!$E$2:$E,A60,Ventas!$F$2:$F))</f>
        <v/>
      </c>
      <c r="G60" s="7">
        <f>IF(A60="","",SUMIFS(Ventas!$F$2:$F,Ventas!$E$2:$E,A60,Ventas!$G$2:$G,"Sí"))</f>
        <v/>
      </c>
      <c r="H60" s="7">
        <f>IF(A60="","",F60-G60)</f>
        <v/>
      </c>
    </row>
    <row r="61">
      <c r="A61" s="6" t="n"/>
      <c r="B61" s="6" t="n"/>
      <c r="C61" s="6" t="n"/>
      <c r="D61" s="6">
        <f>IF(A61="","",COUNTIF(Ventas!$E$2:$E,A61))</f>
        <v/>
      </c>
      <c r="E61" s="7">
        <f>IF(A61="","",SUMIF(Ventas!$E$2:$E,A61,Ventas!$D$2:$D))</f>
        <v/>
      </c>
      <c r="F61" s="7">
        <f>IF(A61="","",SUMIF(Ventas!$E$2:$E,A61,Ventas!$F$2:$F))</f>
        <v/>
      </c>
      <c r="G61" s="7">
        <f>IF(A61="","",SUMIFS(Ventas!$F$2:$F,Ventas!$E$2:$E,A61,Ventas!$G$2:$G,"Sí"))</f>
        <v/>
      </c>
      <c r="H61" s="7">
        <f>IF(A61="","",F61-G61)</f>
        <v/>
      </c>
    </row>
    <row r="62">
      <c r="A62" s="6" t="n"/>
      <c r="B62" s="6" t="n"/>
      <c r="C62" s="6" t="n"/>
      <c r="D62" s="6">
        <f>IF(A62="","",COUNTIF(Ventas!$E$2:$E,A62))</f>
        <v/>
      </c>
      <c r="E62" s="7">
        <f>IF(A62="","",SUMIF(Ventas!$E$2:$E,A62,Ventas!$D$2:$D))</f>
        <v/>
      </c>
      <c r="F62" s="7">
        <f>IF(A62="","",SUMIF(Ventas!$E$2:$E,A62,Ventas!$F$2:$F))</f>
        <v/>
      </c>
      <c r="G62" s="7">
        <f>IF(A62="","",SUMIFS(Ventas!$F$2:$F,Ventas!$E$2:$E,A62,Ventas!$G$2:$G,"Sí"))</f>
        <v/>
      </c>
      <c r="H62" s="7">
        <f>IF(A62="","",F62-G62)</f>
        <v/>
      </c>
    </row>
    <row r="63">
      <c r="A63" s="6" t="n"/>
      <c r="B63" s="6" t="n"/>
      <c r="C63" s="6" t="n"/>
      <c r="D63" s="6">
        <f>IF(A63="","",COUNTIF(Ventas!$E$2:$E,A63))</f>
        <v/>
      </c>
      <c r="E63" s="7">
        <f>IF(A63="","",SUMIF(Ventas!$E$2:$E,A63,Ventas!$D$2:$D))</f>
        <v/>
      </c>
      <c r="F63" s="7">
        <f>IF(A63="","",SUMIF(Ventas!$E$2:$E,A63,Ventas!$F$2:$F))</f>
        <v/>
      </c>
      <c r="G63" s="7">
        <f>IF(A63="","",SUMIFS(Ventas!$F$2:$F,Ventas!$E$2:$E,A63,Ventas!$G$2:$G,"Sí"))</f>
        <v/>
      </c>
      <c r="H63" s="7">
        <f>IF(A63="","",F63-G63)</f>
        <v/>
      </c>
    </row>
    <row r="64">
      <c r="A64" s="6" t="n"/>
      <c r="B64" s="6" t="n"/>
      <c r="C64" s="6" t="n"/>
      <c r="D64" s="6">
        <f>IF(A64="","",COUNTIF(Ventas!$E$2:$E,A64))</f>
        <v/>
      </c>
      <c r="E64" s="7">
        <f>IF(A64="","",SUMIF(Ventas!$E$2:$E,A64,Ventas!$D$2:$D))</f>
        <v/>
      </c>
      <c r="F64" s="7">
        <f>IF(A64="","",SUMIF(Ventas!$E$2:$E,A64,Ventas!$F$2:$F))</f>
        <v/>
      </c>
      <c r="G64" s="7">
        <f>IF(A64="","",SUMIFS(Ventas!$F$2:$F,Ventas!$E$2:$E,A64,Ventas!$G$2:$G,"Sí"))</f>
        <v/>
      </c>
      <c r="H64" s="7">
        <f>IF(A64="","",F64-G64)</f>
        <v/>
      </c>
    </row>
    <row r="65">
      <c r="A65" s="6" t="n"/>
      <c r="B65" s="6" t="n"/>
      <c r="C65" s="6" t="n"/>
      <c r="D65" s="6">
        <f>IF(A65="","",COUNTIF(Ventas!$E$2:$E,A65))</f>
        <v/>
      </c>
      <c r="E65" s="7">
        <f>IF(A65="","",SUMIF(Ventas!$E$2:$E,A65,Ventas!$D$2:$D))</f>
        <v/>
      </c>
      <c r="F65" s="7">
        <f>IF(A65="","",SUMIF(Ventas!$E$2:$E,A65,Ventas!$F$2:$F))</f>
        <v/>
      </c>
      <c r="G65" s="7">
        <f>IF(A65="","",SUMIFS(Ventas!$F$2:$F,Ventas!$E$2:$E,A65,Ventas!$G$2:$G,"Sí"))</f>
        <v/>
      </c>
      <c r="H65" s="7">
        <f>IF(A65="","",F65-G65)</f>
        <v/>
      </c>
    </row>
    <row r="66">
      <c r="A66" s="6" t="n"/>
      <c r="B66" s="6" t="n"/>
      <c r="C66" s="6" t="n"/>
      <c r="D66" s="6">
        <f>IF(A66="","",COUNTIF(Ventas!$E$2:$E,A66))</f>
        <v/>
      </c>
      <c r="E66" s="7">
        <f>IF(A66="","",SUMIF(Ventas!$E$2:$E,A66,Ventas!$D$2:$D))</f>
        <v/>
      </c>
      <c r="F66" s="7">
        <f>IF(A66="","",SUMIF(Ventas!$E$2:$E,A66,Ventas!$F$2:$F))</f>
        <v/>
      </c>
      <c r="G66" s="7">
        <f>IF(A66="","",SUMIFS(Ventas!$F$2:$F,Ventas!$E$2:$E,A66,Ventas!$G$2:$G,"Sí"))</f>
        <v/>
      </c>
      <c r="H66" s="7">
        <f>IF(A66="","",F66-G66)</f>
        <v/>
      </c>
    </row>
    <row r="67">
      <c r="A67" s="6" t="n"/>
      <c r="B67" s="6" t="n"/>
      <c r="C67" s="6" t="n"/>
      <c r="D67" s="6">
        <f>IF(A67="","",COUNTIF(Ventas!$E$2:$E,A67))</f>
        <v/>
      </c>
      <c r="E67" s="7">
        <f>IF(A67="","",SUMIF(Ventas!$E$2:$E,A67,Ventas!$D$2:$D))</f>
        <v/>
      </c>
      <c r="F67" s="7">
        <f>IF(A67="","",SUMIF(Ventas!$E$2:$E,A67,Ventas!$F$2:$F))</f>
        <v/>
      </c>
      <c r="G67" s="7">
        <f>IF(A67="","",SUMIFS(Ventas!$F$2:$F,Ventas!$E$2:$E,A67,Ventas!$G$2:$G,"Sí"))</f>
        <v/>
      </c>
      <c r="H67" s="7">
        <f>IF(A67="","",F67-G67)</f>
        <v/>
      </c>
    </row>
    <row r="68">
      <c r="A68" s="6" t="n"/>
      <c r="B68" s="6" t="n"/>
      <c r="C68" s="6" t="n"/>
      <c r="D68" s="6">
        <f>IF(A68="","",COUNTIF(Ventas!$E$2:$E,A68))</f>
        <v/>
      </c>
      <c r="E68" s="7">
        <f>IF(A68="","",SUMIF(Ventas!$E$2:$E,A68,Ventas!$D$2:$D))</f>
        <v/>
      </c>
      <c r="F68" s="7">
        <f>IF(A68="","",SUMIF(Ventas!$E$2:$E,A68,Ventas!$F$2:$F))</f>
        <v/>
      </c>
      <c r="G68" s="7">
        <f>IF(A68="","",SUMIFS(Ventas!$F$2:$F,Ventas!$E$2:$E,A68,Ventas!$G$2:$G,"Sí"))</f>
        <v/>
      </c>
      <c r="H68" s="7">
        <f>IF(A68="","",F68-G68)</f>
        <v/>
      </c>
    </row>
    <row r="69">
      <c r="A69" s="6" t="n"/>
      <c r="B69" s="6" t="n"/>
      <c r="C69" s="6" t="n"/>
      <c r="D69" s="6">
        <f>IF(A69="","",COUNTIF(Ventas!$E$2:$E,A69))</f>
        <v/>
      </c>
      <c r="E69" s="7">
        <f>IF(A69="","",SUMIF(Ventas!$E$2:$E,A69,Ventas!$D$2:$D))</f>
        <v/>
      </c>
      <c r="F69" s="7">
        <f>IF(A69="","",SUMIF(Ventas!$E$2:$E,A69,Ventas!$F$2:$F))</f>
        <v/>
      </c>
      <c r="G69" s="7">
        <f>IF(A69="","",SUMIFS(Ventas!$F$2:$F,Ventas!$E$2:$E,A69,Ventas!$G$2:$G,"Sí"))</f>
        <v/>
      </c>
      <c r="H69" s="7">
        <f>IF(A69="","",F69-G69)</f>
        <v/>
      </c>
    </row>
    <row r="70">
      <c r="A70" s="6" t="n"/>
      <c r="B70" s="6" t="n"/>
      <c r="C70" s="6" t="n"/>
      <c r="D70" s="6">
        <f>IF(A70="","",COUNTIF(Ventas!$E$2:$E,A70))</f>
        <v/>
      </c>
      <c r="E70" s="7">
        <f>IF(A70="","",SUMIF(Ventas!$E$2:$E,A70,Ventas!$D$2:$D))</f>
        <v/>
      </c>
      <c r="F70" s="7">
        <f>IF(A70="","",SUMIF(Ventas!$E$2:$E,A70,Ventas!$F$2:$F))</f>
        <v/>
      </c>
      <c r="G70" s="7">
        <f>IF(A70="","",SUMIFS(Ventas!$F$2:$F,Ventas!$E$2:$E,A70,Ventas!$G$2:$G,"Sí"))</f>
        <v/>
      </c>
      <c r="H70" s="7">
        <f>IF(A70="","",F70-G70)</f>
        <v/>
      </c>
    </row>
    <row r="71">
      <c r="A71" s="6" t="n"/>
      <c r="B71" s="6" t="n"/>
      <c r="C71" s="6" t="n"/>
      <c r="D71" s="6">
        <f>IF(A71="","",COUNTIF(Ventas!$E$2:$E,A71))</f>
        <v/>
      </c>
      <c r="E71" s="7">
        <f>IF(A71="","",SUMIF(Ventas!$E$2:$E,A71,Ventas!$D$2:$D))</f>
        <v/>
      </c>
      <c r="F71" s="7">
        <f>IF(A71="","",SUMIF(Ventas!$E$2:$E,A71,Ventas!$F$2:$F))</f>
        <v/>
      </c>
      <c r="G71" s="7">
        <f>IF(A71="","",SUMIFS(Ventas!$F$2:$F,Ventas!$E$2:$E,A71,Ventas!$G$2:$G,"Sí"))</f>
        <v/>
      </c>
      <c r="H71" s="7">
        <f>IF(A71="","",F71-G71)</f>
        <v/>
      </c>
    </row>
    <row r="72">
      <c r="A72" s="6" t="n"/>
      <c r="B72" s="6" t="n"/>
      <c r="C72" s="6" t="n"/>
      <c r="D72" s="6">
        <f>IF(A72="","",COUNTIF(Ventas!$E$2:$E,A72))</f>
        <v/>
      </c>
      <c r="E72" s="7">
        <f>IF(A72="","",SUMIF(Ventas!$E$2:$E,A72,Ventas!$D$2:$D))</f>
        <v/>
      </c>
      <c r="F72" s="7">
        <f>IF(A72="","",SUMIF(Ventas!$E$2:$E,A72,Ventas!$F$2:$F))</f>
        <v/>
      </c>
      <c r="G72" s="7">
        <f>IF(A72="","",SUMIFS(Ventas!$F$2:$F,Ventas!$E$2:$E,A72,Ventas!$G$2:$G,"Sí"))</f>
        <v/>
      </c>
      <c r="H72" s="7">
        <f>IF(A72="","",F72-G72)</f>
        <v/>
      </c>
    </row>
    <row r="73">
      <c r="A73" s="6" t="n"/>
      <c r="B73" s="6" t="n"/>
      <c r="C73" s="6" t="n"/>
      <c r="D73" s="6">
        <f>IF(A73="","",COUNTIF(Ventas!$E$2:$E,A73))</f>
        <v/>
      </c>
      <c r="E73" s="7">
        <f>IF(A73="","",SUMIF(Ventas!$E$2:$E,A73,Ventas!$D$2:$D))</f>
        <v/>
      </c>
      <c r="F73" s="7">
        <f>IF(A73="","",SUMIF(Ventas!$E$2:$E,A73,Ventas!$F$2:$F))</f>
        <v/>
      </c>
      <c r="G73" s="7">
        <f>IF(A73="","",SUMIFS(Ventas!$F$2:$F,Ventas!$E$2:$E,A73,Ventas!$G$2:$G,"Sí"))</f>
        <v/>
      </c>
      <c r="H73" s="7">
        <f>IF(A73="","",F73-G73)</f>
        <v/>
      </c>
    </row>
    <row r="74">
      <c r="A74" s="6" t="n"/>
      <c r="B74" s="6" t="n"/>
      <c r="C74" s="6" t="n"/>
      <c r="D74" s="6">
        <f>IF(A74="","",COUNTIF(Ventas!$E$2:$E,A74))</f>
        <v/>
      </c>
      <c r="E74" s="7">
        <f>IF(A74="","",SUMIF(Ventas!$E$2:$E,A74,Ventas!$D$2:$D))</f>
        <v/>
      </c>
      <c r="F74" s="7">
        <f>IF(A74="","",SUMIF(Ventas!$E$2:$E,A74,Ventas!$F$2:$F))</f>
        <v/>
      </c>
      <c r="G74" s="7">
        <f>IF(A74="","",SUMIFS(Ventas!$F$2:$F,Ventas!$E$2:$E,A74,Ventas!$G$2:$G,"Sí"))</f>
        <v/>
      </c>
      <c r="H74" s="7">
        <f>IF(A74="","",F74-G74)</f>
        <v/>
      </c>
    </row>
    <row r="75">
      <c r="A75" s="6" t="n"/>
      <c r="B75" s="6" t="n"/>
      <c r="C75" s="6" t="n"/>
      <c r="D75" s="6">
        <f>IF(A75="","",COUNTIF(Ventas!$E$2:$E,A75))</f>
        <v/>
      </c>
      <c r="E75" s="7">
        <f>IF(A75="","",SUMIF(Ventas!$E$2:$E,A75,Ventas!$D$2:$D))</f>
        <v/>
      </c>
      <c r="F75" s="7">
        <f>IF(A75="","",SUMIF(Ventas!$E$2:$E,A75,Ventas!$F$2:$F))</f>
        <v/>
      </c>
      <c r="G75" s="7">
        <f>IF(A75="","",SUMIFS(Ventas!$F$2:$F,Ventas!$E$2:$E,A75,Ventas!$G$2:$G,"Sí"))</f>
        <v/>
      </c>
      <c r="H75" s="7">
        <f>IF(A75="","",F75-G75)</f>
        <v/>
      </c>
    </row>
    <row r="76">
      <c r="A76" s="6" t="n"/>
      <c r="B76" s="6" t="n"/>
      <c r="C76" s="6" t="n"/>
      <c r="D76" s="6">
        <f>IF(A76="","",COUNTIF(Ventas!$E$2:$E,A76))</f>
        <v/>
      </c>
      <c r="E76" s="7">
        <f>IF(A76="","",SUMIF(Ventas!$E$2:$E,A76,Ventas!$D$2:$D))</f>
        <v/>
      </c>
      <c r="F76" s="7">
        <f>IF(A76="","",SUMIF(Ventas!$E$2:$E,A76,Ventas!$F$2:$F))</f>
        <v/>
      </c>
      <c r="G76" s="7">
        <f>IF(A76="","",SUMIFS(Ventas!$F$2:$F,Ventas!$E$2:$E,A76,Ventas!$G$2:$G,"Sí"))</f>
        <v/>
      </c>
      <c r="H76" s="7">
        <f>IF(A76="","",F76-G76)</f>
        <v/>
      </c>
    </row>
    <row r="77">
      <c r="A77" s="6" t="n"/>
      <c r="B77" s="6" t="n"/>
      <c r="C77" s="6" t="n"/>
      <c r="D77" s="6">
        <f>IF(A77="","",COUNTIF(Ventas!$E$2:$E,A77))</f>
        <v/>
      </c>
      <c r="E77" s="7">
        <f>IF(A77="","",SUMIF(Ventas!$E$2:$E,A77,Ventas!$D$2:$D))</f>
        <v/>
      </c>
      <c r="F77" s="7">
        <f>IF(A77="","",SUMIF(Ventas!$E$2:$E,A77,Ventas!$F$2:$F))</f>
        <v/>
      </c>
      <c r="G77" s="7">
        <f>IF(A77="","",SUMIFS(Ventas!$F$2:$F,Ventas!$E$2:$E,A77,Ventas!$G$2:$G,"Sí"))</f>
        <v/>
      </c>
      <c r="H77" s="7">
        <f>IF(A77="","",F77-G77)</f>
        <v/>
      </c>
    </row>
    <row r="78">
      <c r="A78" s="6" t="n"/>
      <c r="B78" s="6" t="n"/>
      <c r="C78" s="6" t="n"/>
      <c r="D78" s="6">
        <f>IF(A78="","",COUNTIF(Ventas!$E$2:$E,A78))</f>
        <v/>
      </c>
      <c r="E78" s="7">
        <f>IF(A78="","",SUMIF(Ventas!$E$2:$E,A78,Ventas!$D$2:$D))</f>
        <v/>
      </c>
      <c r="F78" s="7">
        <f>IF(A78="","",SUMIF(Ventas!$E$2:$E,A78,Ventas!$F$2:$F))</f>
        <v/>
      </c>
      <c r="G78" s="7">
        <f>IF(A78="","",SUMIFS(Ventas!$F$2:$F,Ventas!$E$2:$E,A78,Ventas!$G$2:$G,"Sí"))</f>
        <v/>
      </c>
      <c r="H78" s="7">
        <f>IF(A78="","",F78-G78)</f>
        <v/>
      </c>
    </row>
    <row r="79">
      <c r="A79" s="6" t="n"/>
      <c r="B79" s="6" t="n"/>
      <c r="C79" s="6" t="n"/>
      <c r="D79" s="6">
        <f>IF(A79="","",COUNTIF(Ventas!$E$2:$E,A79))</f>
        <v/>
      </c>
      <c r="E79" s="7">
        <f>IF(A79="","",SUMIF(Ventas!$E$2:$E,A79,Ventas!$D$2:$D))</f>
        <v/>
      </c>
      <c r="F79" s="7">
        <f>IF(A79="","",SUMIF(Ventas!$E$2:$E,A79,Ventas!$F$2:$F))</f>
        <v/>
      </c>
      <c r="G79" s="7">
        <f>IF(A79="","",SUMIFS(Ventas!$F$2:$F,Ventas!$E$2:$E,A79,Ventas!$G$2:$G,"Sí"))</f>
        <v/>
      </c>
      <c r="H79" s="7">
        <f>IF(A79="","",F79-G79)</f>
        <v/>
      </c>
    </row>
    <row r="80">
      <c r="A80" s="6" t="n"/>
      <c r="B80" s="6" t="n"/>
      <c r="C80" s="6" t="n"/>
      <c r="D80" s="6">
        <f>IF(A80="","",COUNTIF(Ventas!$E$2:$E,A80))</f>
        <v/>
      </c>
      <c r="E80" s="7">
        <f>IF(A80="","",SUMIF(Ventas!$E$2:$E,A80,Ventas!$D$2:$D))</f>
        <v/>
      </c>
      <c r="F80" s="7">
        <f>IF(A80="","",SUMIF(Ventas!$E$2:$E,A80,Ventas!$F$2:$F))</f>
        <v/>
      </c>
      <c r="G80" s="7">
        <f>IF(A80="","",SUMIFS(Ventas!$F$2:$F,Ventas!$E$2:$E,A80,Ventas!$G$2:$G,"Sí"))</f>
        <v/>
      </c>
      <c r="H80" s="7">
        <f>IF(A80="","",F80-G80)</f>
        <v/>
      </c>
    </row>
    <row r="81">
      <c r="A81" s="6" t="n"/>
      <c r="B81" s="6" t="n"/>
      <c r="C81" s="6" t="n"/>
      <c r="D81" s="6">
        <f>IF(A81="","",COUNTIF(Ventas!$E$2:$E,A81))</f>
        <v/>
      </c>
      <c r="E81" s="7">
        <f>IF(A81="","",SUMIF(Ventas!$E$2:$E,A81,Ventas!$D$2:$D))</f>
        <v/>
      </c>
      <c r="F81" s="7">
        <f>IF(A81="","",SUMIF(Ventas!$E$2:$E,A81,Ventas!$F$2:$F))</f>
        <v/>
      </c>
      <c r="G81" s="7">
        <f>IF(A81="","",SUMIFS(Ventas!$F$2:$F,Ventas!$E$2:$E,A81,Ventas!$G$2:$G,"Sí"))</f>
        <v/>
      </c>
      <c r="H81" s="7">
        <f>IF(A81="","",F81-G81)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0" t="inlineStr">
        <is>
          <t>Ajustes</t>
        </is>
      </c>
    </row>
    <row r="3">
      <c r="A3" s="6" t="inlineStr">
        <is>
          <t>Comisión para el vendedor (de cada pago)</t>
        </is>
      </c>
      <c r="B3" s="11" t="n">
        <v>0.2</v>
      </c>
    </row>
    <row r="5">
      <c r="A5" s="12" t="inlineStr">
        <is>
          <t>Plan</t>
        </is>
      </c>
      <c r="B5" s="12" t="inlineStr">
        <is>
          <t>Precio ($)</t>
        </is>
      </c>
    </row>
    <row r="6">
      <c r="A6" s="6" t="inlineStr">
        <is>
          <t>3 meses</t>
        </is>
      </c>
      <c r="B6" s="13" t="n">
        <v>24900</v>
      </c>
    </row>
    <row r="7">
      <c r="A7" s="6" t="inlineStr">
        <is>
          <t>Anual</t>
        </is>
      </c>
      <c r="B7" s="13" t="n">
        <v>69900</v>
      </c>
    </row>
    <row r="8">
      <c r="A8" s="6" t="inlineStr">
        <is>
          <t>Para siempre</t>
        </is>
      </c>
      <c r="B8" s="13" t="n">
        <v>119900</v>
      </c>
    </row>
    <row r="10">
      <c r="A10" s="14" t="inlineStr">
        <is>
          <t>Total que les debés a los vendedores</t>
        </is>
      </c>
      <c r="B10" s="9">
        <f>SUM(Vendedores!H2:H)</f>
        <v/>
      </c>
    </row>
    <row r="12">
      <c r="A12" s="15" t="inlineStr">
        <is>
          <t>Los números en azul se pueden cambiar. Los precios tienen que ser los mismos que cobran los links de Mercado Pago.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2026-10-13T01:02:38Z</dcterms:created>
  <dcterms:modified xmlns:dcterms="http://purl.org/dc/terms/" xmlns:xsi="http://www.w3.org/2001/XMLSchema-instance" xsi:type="dcterms:W3CDTF">2026-10-13T01:02:38Z</dcterms:modified>
</cp:coreProperties>
</file>